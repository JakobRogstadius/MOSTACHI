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comments2.xml" ContentType="application/vnd.openxmlformats-officedocument.spreadsheetml.comment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xml"/>
  <Override PartName="/xl/comments3.xml" ContentType="application/vnd.openxmlformats-officedocument.spreadsheetml.comment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7.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8.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jakobro\source\repos\MOSTACHI-repo\data\"/>
    </mc:Choice>
  </mc:AlternateContent>
  <xr:revisionPtr revIDLastSave="0" documentId="13_ncr:1_{75D15D2A-B489-4147-93C8-87192253F270}" xr6:coauthVersionLast="47" xr6:coauthVersionMax="47" xr10:uidLastSave="{00000000-0000-0000-0000-000000000000}"/>
  <bookViews>
    <workbookView xWindow="-110" yWindow="-110" windowWidth="38620" windowHeight="21100" activeTab="3" xr2:uid="{4266BFD6-5E9F-4193-9500-1AEE037DE333}"/>
  </bookViews>
  <sheets>
    <sheet name="batteries" sheetId="1" r:id="rId1"/>
    <sheet name="bat plots" sheetId="12" r:id="rId2"/>
    <sheet name="electricity price curves" sheetId="7" r:id="rId3"/>
    <sheet name="infra" sheetId="6" r:id="rId4"/>
    <sheet name="world" sheetId="5" r:id="rId5"/>
    <sheet name="world (SE)" sheetId="16" r:id="rId6"/>
    <sheet name="powertrains" sheetId="9" r:id="rId7"/>
    <sheet name="vehicles" sheetId="2" r:id="rId8"/>
    <sheet name="code" sheetId="4" r:id="rId9"/>
    <sheet name="battery wear" sheetId="3" r:id="rId10"/>
    <sheet name="validation" sheetId="10" r:id="rId11"/>
    <sheet name="tables" sheetId="11" r:id="rId12"/>
    <sheet name="fuel price references" sheetId="13" r:id="rId13"/>
    <sheet name="battery SoH example" sheetId="15"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 i="5" l="1"/>
  <c r="H8" i="5"/>
  <c r="J8" i="5"/>
  <c r="F6" i="5" a="1"/>
  <c r="F6" i="5" s="1"/>
  <c r="E80" i="6" a="1"/>
  <c r="E80" i="6" s="1"/>
  <c r="E78" i="6" l="1" a="1"/>
  <c r="E78" i="6" s="1"/>
  <c r="G50" i="6" a="1"/>
  <c r="G50" i="6" s="1"/>
  <c r="G74" i="6" s="1"/>
  <c r="G5" i="2" l="1"/>
  <c r="F5" i="2"/>
  <c r="E5" i="2"/>
  <c r="H5" i="2"/>
  <c r="F11" i="1" a="1"/>
  <c r="F11" i="1" s="1"/>
  <c r="E12" i="5" l="1"/>
  <c r="M193" i="4" l="1"/>
  <c r="M185" i="4"/>
  <c r="F2" i="1"/>
  <c r="G2" i="1" s="1"/>
  <c r="H2" i="1" s="1"/>
  <c r="I2" i="1" s="1"/>
  <c r="J2" i="1" s="1"/>
  <c r="K2" i="1" s="1"/>
  <c r="AB42" i="2"/>
  <c r="AA41" i="2"/>
  <c r="AA42" i="2"/>
  <c r="Y52" i="2"/>
  <c r="W57" i="2"/>
  <c r="W56" i="2"/>
  <c r="X54" i="2" a="1"/>
  <c r="X54" i="2" s="1"/>
  <c r="X56" i="2" s="1"/>
  <c r="W54" i="2" a="1"/>
  <c r="W54" i="2" s="1"/>
  <c r="Y53" i="2"/>
  <c r="X53" i="2"/>
  <c r="W52" i="2" a="1"/>
  <c r="W52" i="2" s="1"/>
  <c r="X49" i="2" a="1"/>
  <c r="X49" i="2" s="1"/>
  <c r="X48" i="2"/>
  <c r="X47" i="2"/>
  <c r="X46" i="2"/>
  <c r="X43" i="2" a="1"/>
  <c r="X43" i="2" s="1"/>
  <c r="X42" i="2" a="1"/>
  <c r="X42" i="2" s="1"/>
  <c r="X40" i="2"/>
  <c r="X41" i="2" s="1" a="1"/>
  <c r="X41" i="2" s="1"/>
  <c r="Y56" i="2" l="1"/>
  <c r="X57" i="2" s="1" a="1"/>
  <c r="X57" i="2" s="1"/>
  <c r="AD7" i="6" l="1"/>
  <c r="E28" i="6"/>
  <c r="E36" i="6"/>
  <c r="P68" i="1"/>
  <c r="M16" i="5"/>
  <c r="M17" i="5"/>
  <c r="M22" i="5"/>
  <c r="M21" i="5"/>
  <c r="M26" i="5"/>
  <c r="M30" i="5"/>
  <c r="M34" i="5"/>
  <c r="I48" i="11" a="1"/>
  <c r="I48" i="11" s="1"/>
  <c r="E17" i="6"/>
  <c r="U6" i="6"/>
  <c r="U5" i="6"/>
  <c r="U4" i="6" a="1"/>
  <c r="U4" i="6" s="1"/>
  <c r="I29" i="2"/>
  <c r="I30" i="2"/>
  <c r="I28" i="2"/>
  <c r="E24" i="1" a="1"/>
  <c r="E24" i="1" s="1"/>
  <c r="E27" i="1" a="1"/>
  <c r="E27" i="1" s="1"/>
  <c r="L23" i="5" a="1"/>
  <c r="L23" i="5" s="1"/>
  <c r="L27" i="5" a="1"/>
  <c r="L27" i="5" s="1"/>
  <c r="N38" i="16"/>
  <c r="F32" i="16" a="1"/>
  <c r="F32" i="16" s="1"/>
  <c r="E31" i="16"/>
  <c r="F31" i="16" s="1" a="1"/>
  <c r="F31" i="16" s="1"/>
  <c r="E30" i="16"/>
  <c r="F30" i="16" s="1" a="1"/>
  <c r="F30" i="16" s="1"/>
  <c r="F28" i="16" a="1"/>
  <c r="F28" i="16" s="1"/>
  <c r="F27" i="16" a="1"/>
  <c r="F27" i="16" s="1"/>
  <c r="E27" i="16"/>
  <c r="E26" i="16"/>
  <c r="F24" i="16" a="1"/>
  <c r="F24" i="16" s="1"/>
  <c r="F23" i="16" a="1"/>
  <c r="F23" i="16" s="1"/>
  <c r="E23" i="16"/>
  <c r="F22" i="16" a="1"/>
  <c r="F22" i="16" s="1"/>
  <c r="E22" i="16"/>
  <c r="F19" i="16" a="1"/>
  <c r="F19" i="16" s="1"/>
  <c r="F18" i="16"/>
  <c r="F18" i="16" a="1"/>
  <c r="F14" i="16"/>
  <c r="F14" i="16" a="1"/>
  <c r="F13" i="16" a="1"/>
  <c r="F13" i="16" s="1"/>
  <c r="H12" i="16"/>
  <c r="I12" i="16" s="1"/>
  <c r="J12" i="16" s="1"/>
  <c r="K12" i="16" s="1"/>
  <c r="E11" i="16"/>
  <c r="F11" i="16" s="1" a="1"/>
  <c r="F11" i="16" s="1"/>
  <c r="F10" i="16"/>
  <c r="G10" i="16" s="1" a="1"/>
  <c r="G10" i="16" s="1"/>
  <c r="F9" i="16" a="1"/>
  <c r="F9" i="16" s="1"/>
  <c r="F8" i="16"/>
  <c r="G8" i="16" s="1"/>
  <c r="H8" i="16" s="1"/>
  <c r="I8" i="16" s="1"/>
  <c r="J8" i="16" s="1"/>
  <c r="K8" i="16" s="1"/>
  <c r="F7" i="16" a="1"/>
  <c r="F7" i="16" s="1"/>
  <c r="E6" i="16"/>
  <c r="F6" i="16" s="1" a="1"/>
  <c r="F6" i="16" s="1"/>
  <c r="F5" i="16"/>
  <c r="F5" i="16" a="1"/>
  <c r="F4" i="16" a="1"/>
  <c r="F4" i="16" s="1"/>
  <c r="F3" i="16" a="1"/>
  <c r="F3" i="16" s="1"/>
  <c r="F2" i="16" a="1"/>
  <c r="F2" i="16" s="1"/>
  <c r="U9" i="6" l="1"/>
  <c r="E16" i="16" a="1"/>
  <c r="E16" i="16" s="1"/>
  <c r="E29" i="16" a="1"/>
  <c r="E29" i="16" s="1"/>
  <c r="E15" i="16" a="1"/>
  <c r="E15" i="16" s="1"/>
  <c r="E33" i="16" a="1"/>
  <c r="E33" i="16" s="1"/>
  <c r="E25" i="16" a="1"/>
  <c r="E25" i="16" s="1"/>
  <c r="F26" i="16" a="1"/>
  <c r="F26" i="16" s="1"/>
  <c r="P27" i="16" s="1" a="1"/>
  <c r="P27" i="16" s="1"/>
  <c r="E17" i="16" l="1" a="1"/>
  <c r="E17" i="16" s="1"/>
  <c r="E38" i="16" a="1"/>
  <c r="E38" i="16" s="1"/>
  <c r="E36" i="16" l="1" a="1"/>
  <c r="E36" i="16" s="1"/>
  <c r="E37" i="16" s="1" a="1"/>
  <c r="E37" i="16" s="1"/>
  <c r="W54" i="9" a="1"/>
  <c r="W54" i="9" s="1"/>
  <c r="W48" i="9" a="1"/>
  <c r="W48" i="9" s="1"/>
  <c r="W41" i="9" a="1"/>
  <c r="W41" i="9" s="1"/>
  <c r="Z28" i="9" a="1"/>
  <c r="Z28" i="9" s="1"/>
  <c r="X28" i="9" a="1"/>
  <c r="X28" i="9" s="1"/>
  <c r="Y28" i="9" a="1"/>
  <c r="Y28" i="9" s="1"/>
  <c r="W28" i="9" a="1"/>
  <c r="W28" i="9" s="1"/>
  <c r="Z4" i="9"/>
  <c r="Y23" i="9"/>
  <c r="Z17" i="9" s="1" a="1"/>
  <c r="Z17" i="9" s="1"/>
  <c r="AA17" i="9" s="1" a="1"/>
  <c r="AA17" i="9" s="1"/>
  <c r="AB17" i="9" s="1" a="1"/>
  <c r="AB17" i="9" s="1"/>
  <c r="X23" i="9"/>
  <c r="Y13" i="9"/>
  <c r="X13" i="9"/>
  <c r="Z7" i="9" s="1" a="1"/>
  <c r="Z7" i="9" s="1"/>
  <c r="AA7" i="9" s="1" a="1"/>
  <c r="AA7" i="9" s="1"/>
  <c r="AB7" i="9" s="1" a="1"/>
  <c r="AB7" i="9" s="1"/>
  <c r="F12" i="5" l="1" a="1"/>
  <c r="F12" i="5" s="1"/>
  <c r="N39" i="5"/>
  <c r="H13" i="5"/>
  <c r="E32" i="5"/>
  <c r="E31" i="5"/>
  <c r="F26" i="7"/>
  <c r="F27" i="7"/>
  <c r="F28" i="7"/>
  <c r="E27" i="5" l="1" a="1"/>
  <c r="E27" i="5" s="1"/>
  <c r="E23" i="5" a="1"/>
  <c r="E23" i="5" s="1"/>
  <c r="I13" i="5"/>
  <c r="J13" i="5" s="1"/>
  <c r="K13" i="5" s="1"/>
  <c r="E7" i="5"/>
  <c r="E34" i="2" a="1"/>
  <c r="E34" i="2" s="1"/>
  <c r="E13" i="2" a="1"/>
  <c r="E13" i="2" s="1"/>
  <c r="E35" i="2" l="1" a="1"/>
  <c r="E35" i="2" s="1"/>
  <c r="E26" i="1" a="1"/>
  <c r="E26" i="1" s="1"/>
  <c r="B9" i="15" a="1"/>
  <c r="B9" i="15" s="1"/>
  <c r="B10" i="15" s="1" a="1"/>
  <c r="B10" i="15" s="1"/>
  <c r="B11" i="15" s="1" a="1"/>
  <c r="B11" i="15" s="1"/>
  <c r="F5" i="5" a="1"/>
  <c r="F5" i="5" s="1"/>
  <c r="F39" i="6"/>
  <c r="G39" i="6" s="1"/>
  <c r="H39" i="6" s="1"/>
  <c r="I39" i="6" s="1"/>
  <c r="J39" i="6" s="1"/>
  <c r="K39" i="6" s="1"/>
  <c r="F31" i="6"/>
  <c r="G31" i="6" s="1"/>
  <c r="H31" i="6" s="1"/>
  <c r="I31" i="6" s="1"/>
  <c r="J31" i="6" s="1"/>
  <c r="K31" i="6" s="1"/>
  <c r="F23" i="6"/>
  <c r="G23" i="6" s="1"/>
  <c r="H23" i="6" s="1"/>
  <c r="I23" i="6" s="1"/>
  <c r="J23" i="6" s="1"/>
  <c r="K23" i="6" s="1"/>
  <c r="F4" i="1"/>
  <c r="G4" i="1" s="1"/>
  <c r="H4" i="1" s="1"/>
  <c r="I4" i="1" s="1"/>
  <c r="J4" i="1" s="1"/>
  <c r="K4" i="1" s="1"/>
  <c r="AX18" i="2" a="1"/>
  <c r="AX18" i="2" s="1"/>
  <c r="AV23" i="2" a="1"/>
  <c r="AV23" i="2" s="1"/>
  <c r="AW23" i="2" s="1" a="1"/>
  <c r="AW23" i="2" s="1"/>
  <c r="AW19" i="2" a="1"/>
  <c r="AW19" i="2" s="1"/>
  <c r="AV34" i="2" l="1" a="1"/>
  <c r="AV34" i="2" s="1"/>
  <c r="AV27" i="2" a="1"/>
  <c r="AV27" i="2" s="1"/>
  <c r="B23" i="15" a="1"/>
  <c r="B23" i="15" s="1"/>
  <c r="B25" i="15" s="1"/>
  <c r="B12" i="15" a="1"/>
  <c r="B12" i="15" s="1"/>
  <c r="B15" i="15" a="1"/>
  <c r="B15" i="15" s="1"/>
  <c r="B16" i="15" s="1" a="1"/>
  <c r="B16" i="15" s="1"/>
  <c r="B21" i="15" l="1" a="1"/>
  <c r="B21" i="15" s="1"/>
  <c r="B22" i="15" s="1"/>
  <c r="B24" i="15" a="1"/>
  <c r="B24" i="15" s="1"/>
  <c r="B17" i="15" a="1"/>
  <c r="B17" i="15" s="1"/>
  <c r="F20" i="5" a="1"/>
  <c r="F20" i="5" s="1"/>
  <c r="F19" i="5" a="1"/>
  <c r="F19" i="5" s="1"/>
  <c r="F11" i="5"/>
  <c r="G11" i="5" s="1" a="1"/>
  <c r="G11" i="5" s="1"/>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M59" i="13" a="1"/>
  <c r="M59" i="13" s="1"/>
  <c r="H74" i="6" l="1"/>
  <c r="E74" i="6"/>
  <c r="D96" i="6" a="1"/>
  <c r="D96" i="6" s="1"/>
  <c r="F35" i="1" l="1"/>
  <c r="G35" i="1" s="1"/>
  <c r="H35" i="1" s="1"/>
  <c r="I35" i="1" s="1"/>
  <c r="J35" i="1" s="1"/>
  <c r="K35" i="1" s="1"/>
  <c r="C75" i="1"/>
  <c r="AC44" i="1" a="1"/>
  <c r="AC44" i="1" s="1"/>
  <c r="AD44" i="1" a="1"/>
  <c r="AD44" i="1" s="1"/>
  <c r="E76" i="6" l="1" a="1"/>
  <c r="E76" i="6" s="1"/>
  <c r="P57" i="1" l="1" a="1"/>
  <c r="P57" i="1" s="1"/>
  <c r="E96" i="6" l="1" a="1"/>
  <c r="E96" i="6" s="1"/>
  <c r="Y55" i="1"/>
  <c r="Q68" i="1" l="1" a="1"/>
  <c r="Q68" i="1" s="1"/>
  <c r="Q69" i="1" a="1"/>
  <c r="Q69" i="1" s="1"/>
  <c r="E11" i="2" a="1"/>
  <c r="E11" i="2" s="1"/>
  <c r="A47" i="9" a="1"/>
  <c r="A47" i="9" s="1"/>
  <c r="C9" i="9"/>
  <c r="D9" i="9" s="1" a="1"/>
  <c r="D9" i="9" s="1"/>
  <c r="A41" i="9" a="1"/>
  <c r="A41" i="9" s="1"/>
  <c r="C10" i="9" l="1"/>
  <c r="D10" i="9" s="1" a="1"/>
  <c r="D10" i="9" s="1"/>
  <c r="C47" i="9" s="1" a="1"/>
  <c r="C47" i="9" s="1"/>
  <c r="K170" i="2"/>
  <c r="J170" i="2"/>
  <c r="H170" i="2"/>
  <c r="I170" i="2"/>
  <c r="K139" i="2"/>
  <c r="J139" i="2"/>
  <c r="I139" i="2"/>
  <c r="H139" i="2"/>
  <c r="K108" i="2"/>
  <c r="J108" i="2"/>
  <c r="I108" i="2"/>
  <c r="H108" i="2"/>
  <c r="K77" i="2"/>
  <c r="J77" i="2"/>
  <c r="I77" i="2"/>
  <c r="H77" i="2"/>
  <c r="F2" i="5" a="1"/>
  <c r="F2" i="5" s="1"/>
  <c r="E28" i="2" a="1"/>
  <c r="E28" i="2" s="1"/>
  <c r="G77" i="2" s="1"/>
  <c r="M34" i="4" a="1"/>
  <c r="M34" i="4" s="1"/>
  <c r="P70" i="1" l="1" a="1"/>
  <c r="P70" i="1" s="1"/>
  <c r="X57" i="1" a="1"/>
  <c r="X57" i="1" s="1"/>
  <c r="AE43" i="1" s="1" a="1"/>
  <c r="AE43" i="1" s="1"/>
  <c r="F170" i="2"/>
  <c r="E139" i="2"/>
  <c r="G170" i="2"/>
  <c r="E170" i="2"/>
  <c r="F139" i="2"/>
  <c r="G139" i="2"/>
  <c r="F108" i="2"/>
  <c r="E77" i="2"/>
  <c r="E108" i="2"/>
  <c r="F77" i="2"/>
  <c r="G108" i="2"/>
  <c r="M64" i="4" a="1"/>
  <c r="C13" i="9" a="1"/>
  <c r="C13" i="9" s="1"/>
  <c r="B46" i="9" s="1" a="1"/>
  <c r="B46" i="9" s="1"/>
  <c r="A26" i="11"/>
  <c r="A33" i="11"/>
  <c r="A40" i="11"/>
  <c r="A83" i="2" a="1"/>
  <c r="A83" i="2" s="1"/>
  <c r="A114" i="2" a="1"/>
  <c r="A114" i="2" s="1"/>
  <c r="A145" i="2" a="1"/>
  <c r="A145" i="2" s="1"/>
  <c r="L2" i="11" a="1"/>
  <c r="L2" i="11" s="1"/>
  <c r="A20" i="9" l="1" a="1"/>
  <c r="A20" i="9" s="1"/>
  <c r="A27" i="9" a="1"/>
  <c r="A27" i="9" s="1"/>
  <c r="A34" i="9" a="1"/>
  <c r="M64" i="4"/>
  <c r="A34" i="9" l="1"/>
  <c r="B40" i="9" a="1"/>
  <c r="B40" i="9" s="1"/>
  <c r="M94" i="4" a="1"/>
  <c r="U7" i="6" l="1"/>
  <c r="M94" i="4"/>
  <c r="L15" i="3" a="1"/>
  <c r="L15" i="3" s="1"/>
  <c r="I15" i="3" a="1"/>
  <c r="I15" i="3" s="1"/>
  <c r="F15" i="3" a="1"/>
  <c r="F15" i="3" s="1"/>
  <c r="C7" i="3" a="1"/>
  <c r="C7" i="3" s="1"/>
  <c r="U8" i="6" l="1"/>
  <c r="U10" i="6" s="1"/>
  <c r="U11" i="6" s="1"/>
  <c r="I4" i="10" a="1"/>
  <c r="I4" i="10" s="1"/>
  <c r="E8" i="10"/>
  <c r="G8" i="10"/>
  <c r="F8" i="10"/>
  <c r="J4" i="10" s="1" a="1"/>
  <c r="J4" i="10" s="1"/>
  <c r="D8" i="10" l="1"/>
  <c r="G109" i="6"/>
  <c r="E22" i="6" l="1"/>
  <c r="T114" i="6"/>
  <c r="E24" i="2" a="1"/>
  <c r="E24" i="2" s="1"/>
  <c r="F7" i="5" a="1"/>
  <c r="F7" i="5" s="1"/>
  <c r="F33" i="5" a="1"/>
  <c r="F33" i="5" s="1"/>
  <c r="F32" i="5" a="1"/>
  <c r="F32" i="5" s="1"/>
  <c r="F31" i="5" a="1"/>
  <c r="F31" i="5" s="1"/>
  <c r="R96" i="6" l="1" a="1"/>
  <c r="R96" i="6" s="1"/>
  <c r="E30" i="6"/>
  <c r="E38" i="6" s="1"/>
  <c r="G110" i="6"/>
  <c r="G111" i="6" s="1"/>
  <c r="G112" i="6" s="1"/>
  <c r="G113" i="6" s="1"/>
  <c r="G114" i="6" s="1"/>
  <c r="G115" i="6" s="1"/>
  <c r="G116" i="6" s="1"/>
  <c r="G117" i="6" s="1"/>
  <c r="F20" i="6" a="1"/>
  <c r="F20" i="6" s="1"/>
  <c r="F43" i="6" a="1"/>
  <c r="F43" i="6" s="1"/>
  <c r="F35" i="6" a="1"/>
  <c r="F35" i="6" s="1"/>
  <c r="F27" i="6" a="1"/>
  <c r="F27" i="6" s="1"/>
  <c r="F19" i="6" a="1"/>
  <c r="F19" i="6" s="1"/>
  <c r="F96" i="6" l="1" a="1"/>
  <c r="F96" i="6" s="1"/>
  <c r="E86" i="6" a="1"/>
  <c r="E86" i="6" s="1"/>
  <c r="F18" i="6" l="1" a="1"/>
  <c r="F18" i="6" s="1"/>
  <c r="F17" i="6" a="1"/>
  <c r="F17" i="6" s="1"/>
  <c r="F46" i="6" a="1"/>
  <c r="F46" i="6" s="1"/>
  <c r="F45" i="6" a="1"/>
  <c r="F45" i="6" s="1"/>
  <c r="F44" i="6" a="1"/>
  <c r="F12" i="6" a="1"/>
  <c r="F12" i="6" s="1"/>
  <c r="F11" i="6" a="1"/>
  <c r="F11" i="6" s="1"/>
  <c r="F3" i="1"/>
  <c r="F13" i="1"/>
  <c r="G13" i="1" s="1"/>
  <c r="H13" i="1" s="1"/>
  <c r="I13" i="1" s="1"/>
  <c r="J13" i="1" s="1"/>
  <c r="K13" i="1" s="1"/>
  <c r="F25" i="5" a="1"/>
  <c r="F25" i="5" s="1"/>
  <c r="F29" i="5" a="1"/>
  <c r="F29" i="5" s="1"/>
  <c r="F44" i="6" l="1"/>
  <c r="V7" i="6" s="1"/>
  <c r="W7" i="6"/>
  <c r="X7" i="6"/>
  <c r="AA7" i="6"/>
  <c r="Y7" i="6"/>
  <c r="Z7" i="6"/>
  <c r="E14" i="1" a="1"/>
  <c r="E14" i="1" s="1"/>
  <c r="F8" i="6" a="1"/>
  <c r="F8" i="6" s="1"/>
  <c r="F7" i="6" a="1"/>
  <c r="F7" i="6" s="1"/>
  <c r="F9" i="5"/>
  <c r="A54" i="2"/>
  <c r="A55" i="2" s="1"/>
  <c r="A85" i="2"/>
  <c r="A86" i="2" s="1"/>
  <c r="A116" i="2"/>
  <c r="A117" i="2" s="1"/>
  <c r="A147" i="2"/>
  <c r="A148" i="2" s="1"/>
  <c r="B38" i="2" a="1"/>
  <c r="B38" i="2" s="1"/>
  <c r="B46" i="2" s="1" a="1"/>
  <c r="B46" i="2" s="1"/>
  <c r="D8" i="9" a="1"/>
  <c r="D8" i="9" s="1"/>
  <c r="D7" i="9" a="1"/>
  <c r="D7" i="9" s="1"/>
  <c r="D6" i="9" a="1"/>
  <c r="D6" i="9" s="1"/>
  <c r="D5" i="9" a="1"/>
  <c r="D5" i="9" s="1"/>
  <c r="C41" i="9" s="1" a="1"/>
  <c r="C41" i="9" s="1"/>
  <c r="D4" i="9" a="1"/>
  <c r="D4" i="9" s="1"/>
  <c r="D3" i="9" a="1"/>
  <c r="D3" i="9" s="1"/>
  <c r="D2" i="9" a="1"/>
  <c r="D2" i="9" s="1"/>
  <c r="E25" i="2" a="1"/>
  <c r="E25" i="2" s="1"/>
  <c r="X25" i="2"/>
  <c r="A21" i="9" a="1"/>
  <c r="A21" i="9" s="1"/>
  <c r="AN18" i="2" a="1"/>
  <c r="AN18" i="2" s="1"/>
  <c r="AN19" i="2" s="1" a="1"/>
  <c r="AN19" i="2" s="1"/>
  <c r="F40" i="6" a="1"/>
  <c r="F40" i="6" s="1"/>
  <c r="F38" i="6" a="1"/>
  <c r="F38" i="6" s="1"/>
  <c r="F37" i="6" a="1"/>
  <c r="F37" i="6" s="1"/>
  <c r="F36" i="6" a="1"/>
  <c r="F36" i="6" s="1"/>
  <c r="E28" i="7"/>
  <c r="D28" i="7"/>
  <c r="C28" i="7"/>
  <c r="B28" i="7"/>
  <c r="E27" i="7"/>
  <c r="D27" i="7"/>
  <c r="C27" i="7"/>
  <c r="B27" i="7"/>
  <c r="F24" i="5" s="1" a="1"/>
  <c r="F24" i="5" s="1"/>
  <c r="E26" i="7"/>
  <c r="D26" i="7"/>
  <c r="C26" i="7"/>
  <c r="B26" i="7"/>
  <c r="F23" i="5" s="1" a="1"/>
  <c r="F23" i="5" s="1"/>
  <c r="K2" i="7" a="1"/>
  <c r="K2" i="7" s="1"/>
  <c r="K26" i="7" s="1"/>
  <c r="J2" i="7" a="1"/>
  <c r="J2" i="7" s="1"/>
  <c r="J26" i="7" s="1"/>
  <c r="I2" i="7" a="1"/>
  <c r="I2" i="7" s="1"/>
  <c r="I26" i="7" s="1"/>
  <c r="H2" i="7" a="1"/>
  <c r="H2" i="7" s="1"/>
  <c r="H26" i="7" s="1"/>
  <c r="F74" i="6"/>
  <c r="C289" i="11" s="1" a="1"/>
  <c r="C289" i="11" s="1"/>
  <c r="K72" i="6"/>
  <c r="I300" i="11" s="1" a="1"/>
  <c r="I300" i="11" s="1"/>
  <c r="K57" i="6"/>
  <c r="I289" i="11" s="1" a="1"/>
  <c r="I289" i="11" s="1"/>
  <c r="F32" i="6" a="1"/>
  <c r="F32" i="6" s="1"/>
  <c r="F30" i="6" a="1"/>
  <c r="F30" i="6" s="1"/>
  <c r="F29" i="6" a="1"/>
  <c r="F29" i="6" s="1"/>
  <c r="F28" i="6" a="1"/>
  <c r="F28" i="6" s="1"/>
  <c r="F24" i="6" a="1"/>
  <c r="F24" i="6" s="1"/>
  <c r="E6" i="6" s="1" a="1"/>
  <c r="E6" i="6" s="1"/>
  <c r="F22" i="6" a="1"/>
  <c r="F22" i="6" s="1"/>
  <c r="F21" i="6" a="1"/>
  <c r="F21" i="6" s="1"/>
  <c r="F14" i="6" a="1"/>
  <c r="F13" i="6" a="1"/>
  <c r="F13" i="6" s="1"/>
  <c r="F5" i="6" a="1"/>
  <c r="F5" i="6" s="1"/>
  <c r="F3" i="6" a="1"/>
  <c r="F4" i="6" a="1"/>
  <c r="F4" i="6" s="1"/>
  <c r="F9" i="6" a="1"/>
  <c r="F9" i="6" s="1"/>
  <c r="F10" i="6" a="1"/>
  <c r="F10" i="6" s="1"/>
  <c r="F2" i="6" a="1"/>
  <c r="F2" i="6" l="1"/>
  <c r="V5" i="6" s="1"/>
  <c r="Z5" i="6"/>
  <c r="W5" i="6"/>
  <c r="Y5" i="6"/>
  <c r="AA5" i="6"/>
  <c r="X5" i="6"/>
  <c r="X8" i="6" s="1"/>
  <c r="X6" i="6"/>
  <c r="AA6" i="6"/>
  <c r="W6" i="6"/>
  <c r="Y6" i="6"/>
  <c r="Z6" i="6"/>
  <c r="Z9" i="6" s="1"/>
  <c r="F3" i="6"/>
  <c r="F14" i="6"/>
  <c r="A119" i="2"/>
  <c r="A120" i="2" s="1"/>
  <c r="A121" i="2" s="1"/>
  <c r="A122" i="2" s="1"/>
  <c r="A123" i="2" s="1"/>
  <c r="A124" i="2" s="1"/>
  <c r="A125" i="2" s="1"/>
  <c r="A126" i="2" s="1"/>
  <c r="A127" i="2" s="1"/>
  <c r="A128" i="2" s="1"/>
  <c r="A129" i="2" s="1"/>
  <c r="A130" i="2" s="1"/>
  <c r="A131" i="2" s="1"/>
  <c r="A132" i="2" s="1"/>
  <c r="A133" i="2" s="1"/>
  <c r="A118" i="2"/>
  <c r="A150" i="2"/>
  <c r="A151" i="2" s="1"/>
  <c r="A152" i="2" s="1"/>
  <c r="A153" i="2" s="1"/>
  <c r="A154" i="2" s="1"/>
  <c r="A155" i="2" s="1"/>
  <c r="A156" i="2" s="1"/>
  <c r="A157" i="2" s="1"/>
  <c r="A158" i="2" s="1"/>
  <c r="A159" i="2" s="1"/>
  <c r="A160" i="2" s="1"/>
  <c r="A161" i="2" s="1"/>
  <c r="A162" i="2" s="1"/>
  <c r="A163" i="2" s="1"/>
  <c r="A164" i="2" s="1"/>
  <c r="A165" i="2" s="1"/>
  <c r="A168" i="2" s="1"/>
  <c r="A149" i="2"/>
  <c r="A88" i="2"/>
  <c r="A89" i="2" s="1"/>
  <c r="A90" i="2" s="1"/>
  <c r="A91" i="2" s="1"/>
  <c r="A92" i="2" s="1"/>
  <c r="A93" i="2" s="1"/>
  <c r="A94" i="2" s="1"/>
  <c r="A95" i="2" s="1"/>
  <c r="A96" i="2" s="1"/>
  <c r="A97" i="2" s="1"/>
  <c r="A98" i="2" s="1"/>
  <c r="A99" i="2" s="1"/>
  <c r="A100" i="2" s="1"/>
  <c r="A101" i="2" s="1"/>
  <c r="A102" i="2" s="1"/>
  <c r="A105" i="2" s="1"/>
  <c r="A108" i="2" s="1"/>
  <c r="A111" i="2" s="1"/>
  <c r="A87" i="2"/>
  <c r="A57" i="2"/>
  <c r="A58" i="2" s="1"/>
  <c r="A59" i="2" s="1"/>
  <c r="A60" i="2" s="1"/>
  <c r="A61" i="2" s="1"/>
  <c r="A62" i="2" s="1"/>
  <c r="A63" i="2" s="1"/>
  <c r="A64" i="2" s="1"/>
  <c r="A65" i="2" s="1"/>
  <c r="A66" i="2" s="1"/>
  <c r="A67" i="2" s="1"/>
  <c r="A68" i="2" s="1"/>
  <c r="A69" i="2" s="1"/>
  <c r="A70" i="2" s="1"/>
  <c r="A71" i="2" s="1"/>
  <c r="A56" i="2"/>
  <c r="G26" i="2" a="1"/>
  <c r="G26" i="2" s="1"/>
  <c r="E20" i="16"/>
  <c r="G79" i="6" a="1"/>
  <c r="G79" i="6" s="1"/>
  <c r="F79" i="6" a="1"/>
  <c r="F79" i="6" s="1"/>
  <c r="E79" i="6" a="1"/>
  <c r="E79" i="6" s="1"/>
  <c r="H79" i="6" a="1"/>
  <c r="H79" i="6" s="1"/>
  <c r="AW34" i="2" a="1"/>
  <c r="AW34" i="2" s="1"/>
  <c r="AW27" i="2" s="1" a="1"/>
  <c r="AW27" i="2" s="1"/>
  <c r="F28" i="5" a="1"/>
  <c r="F28" i="5" s="1"/>
  <c r="C14" i="9" a="1"/>
  <c r="C14" i="9" s="1"/>
  <c r="C21" i="9" s="1" a="1"/>
  <c r="C21" i="9" s="1"/>
  <c r="A134" i="2"/>
  <c r="A135" i="2" s="1"/>
  <c r="A138" i="2" s="1"/>
  <c r="A139" i="2" s="1"/>
  <c r="A140" i="2" s="1"/>
  <c r="A141" i="2" s="1"/>
  <c r="A142" i="2" s="1"/>
  <c r="A143" i="2" s="1"/>
  <c r="A136" i="2"/>
  <c r="A17" i="11" a="1"/>
  <c r="A17" i="11" s="1"/>
  <c r="A28" i="9" a="1"/>
  <c r="E21" i="5"/>
  <c r="G9" i="5"/>
  <c r="H9" i="5" s="1"/>
  <c r="I9" i="5" s="1"/>
  <c r="J9" i="5" s="1"/>
  <c r="K9" i="5" s="1"/>
  <c r="B42" i="2" a="1"/>
  <c r="B42" i="2" s="1"/>
  <c r="E26" i="2" a="1"/>
  <c r="E26" i="2" s="1"/>
  <c r="X9" i="6" l="1"/>
  <c r="W37" i="6"/>
  <c r="W38" i="6" s="1"/>
  <c r="W41" i="6" s="1"/>
  <c r="AA9" i="6"/>
  <c r="V8" i="6"/>
  <c r="V6" i="6"/>
  <c r="V9" i="6" s="1"/>
  <c r="Y9" i="6"/>
  <c r="W9" i="6"/>
  <c r="X10" i="6"/>
  <c r="X11" i="6" s="1"/>
  <c r="AA8" i="6"/>
  <c r="AA10" i="6" s="1"/>
  <c r="Y8" i="6"/>
  <c r="Y10" i="6" s="1"/>
  <c r="W8" i="6"/>
  <c r="Z8" i="6"/>
  <c r="A103" i="2"/>
  <c r="A106" i="2" s="1"/>
  <c r="A109" i="2" s="1"/>
  <c r="A112" i="2" s="1"/>
  <c r="A167" i="2"/>
  <c r="F20" i="16"/>
  <c r="G20" i="16" s="1"/>
  <c r="H20" i="16" s="1"/>
  <c r="I20" i="16" s="1"/>
  <c r="J20" i="16" s="1"/>
  <c r="K20" i="16" s="1"/>
  <c r="E81" i="6" a="1"/>
  <c r="E81" i="6" s="1"/>
  <c r="F27" i="5" a="1"/>
  <c r="F27" i="5" s="1"/>
  <c r="P28" i="5" s="1" a="1"/>
  <c r="P28" i="5" s="1"/>
  <c r="F21" i="5"/>
  <c r="G21" i="5" s="1"/>
  <c r="H21" i="5" s="1"/>
  <c r="I21" i="5" s="1"/>
  <c r="J21" i="5" s="1"/>
  <c r="K21" i="5" s="1"/>
  <c r="A166" i="2"/>
  <c r="A169" i="2" s="1"/>
  <c r="A170" i="2" s="1"/>
  <c r="A171" i="2" s="1"/>
  <c r="A172" i="2" s="1"/>
  <c r="A173" i="2" s="1"/>
  <c r="A174" i="2" s="1"/>
  <c r="A137" i="2"/>
  <c r="A104" i="2"/>
  <c r="A107" i="2" s="1"/>
  <c r="A110" i="2" s="1"/>
  <c r="A72" i="2"/>
  <c r="A73" i="2" s="1"/>
  <c r="A76" i="2" s="1"/>
  <c r="A77" i="2" s="1"/>
  <c r="A78" i="2" s="1"/>
  <c r="A79" i="2" s="1"/>
  <c r="A80" i="2" s="1"/>
  <c r="A81" i="2" s="1"/>
  <c r="A74" i="2"/>
  <c r="E42" i="2" a="1"/>
  <c r="E42" i="2" s="1"/>
  <c r="A27" i="11" a="1"/>
  <c r="A27" i="11" s="1"/>
  <c r="A28" i="9"/>
  <c r="B35" i="9" a="1"/>
  <c r="C28" i="9" a="1"/>
  <c r="C28" i="9" s="1"/>
  <c r="E46" i="2" s="1" a="1"/>
  <c r="E46" i="2" s="1"/>
  <c r="E30" i="2" a="1"/>
  <c r="E33" i="2" a="1"/>
  <c r="E33" i="2" s="1"/>
  <c r="E41" i="6" a="1"/>
  <c r="E25" i="6" a="1"/>
  <c r="E33" i="6" l="1" a="1"/>
  <c r="E33" i="6" s="1"/>
  <c r="F33" i="6" s="1" a="1"/>
  <c r="F33" i="6" s="1"/>
  <c r="F86" i="6" a="1"/>
  <c r="F86" i="6" s="1"/>
  <c r="I86" i="6" s="1" a="1"/>
  <c r="AA11" i="6"/>
  <c r="V10" i="6"/>
  <c r="V11" i="6" s="1"/>
  <c r="C317" i="11" a="1"/>
  <c r="C317" i="11" s="1"/>
  <c r="Y11" i="6"/>
  <c r="Z10" i="6"/>
  <c r="Z11" i="6" s="1"/>
  <c r="W10" i="6"/>
  <c r="W11" i="6" s="1"/>
  <c r="E40" i="16" a="1"/>
  <c r="E40" i="16" s="1"/>
  <c r="E21" i="16" a="1"/>
  <c r="E21" i="16" s="1"/>
  <c r="E30" i="2"/>
  <c r="A48" i="11" s="1" a="1"/>
  <c r="A48" i="11" s="1"/>
  <c r="L96" i="6" a="1"/>
  <c r="L96" i="6" s="1"/>
  <c r="E82" i="6" a="1"/>
  <c r="E82" i="6" s="1"/>
  <c r="O86" i="6" a="1"/>
  <c r="O86" i="6" s="1"/>
  <c r="A35" i="9" a="1"/>
  <c r="A35" i="9" s="1"/>
  <c r="A34" i="11" a="1"/>
  <c r="A34" i="11" s="1"/>
  <c r="A75" i="2"/>
  <c r="B35" i="9"/>
  <c r="C35" i="9" s="1" a="1"/>
  <c r="C35" i="9" s="1"/>
  <c r="C36" i="9" a="1"/>
  <c r="C36" i="9" s="1"/>
  <c r="C37" i="9" a="1"/>
  <c r="C37" i="9" s="1"/>
  <c r="C38" i="9" a="1"/>
  <c r="C38" i="9" s="1"/>
  <c r="G96" i="6" a="1"/>
  <c r="G96" i="6" s="1"/>
  <c r="H96" i="6" s="1" a="1"/>
  <c r="H96" i="6" s="1"/>
  <c r="E15" i="6" a="1"/>
  <c r="E15" i="6" s="1"/>
  <c r="E25" i="6"/>
  <c r="F25" i="6" s="1" a="1"/>
  <c r="F25" i="6" s="1"/>
  <c r="F26" i="6" a="1"/>
  <c r="F26" i="6" s="1"/>
  <c r="E41" i="6"/>
  <c r="F41" i="6" s="1" a="1"/>
  <c r="F41" i="6" s="1"/>
  <c r="F42" i="6" a="1"/>
  <c r="F42" i="6" s="1"/>
  <c r="F34" i="6" l="1" a="1"/>
  <c r="F34" i="6" s="1"/>
  <c r="I96" i="6" a="1"/>
  <c r="I96" i="6" s="1"/>
  <c r="J96" i="6" a="1"/>
  <c r="J96" i="6" s="1"/>
  <c r="A41" i="11" a="1"/>
  <c r="A41" i="11" s="1"/>
  <c r="E38" i="2" a="1"/>
  <c r="E38" i="2" s="1"/>
  <c r="I86" i="6"/>
  <c r="L86" i="6" s="1" a="1"/>
  <c r="L86" i="6" s="1"/>
  <c r="N86" i="6" a="1"/>
  <c r="N86" i="6" s="1"/>
  <c r="M86" i="6" a="1"/>
  <c r="M86" i="6" s="1"/>
  <c r="F16" i="6" a="1"/>
  <c r="F16" i="6" s="1"/>
  <c r="F15" i="6" a="1"/>
  <c r="F15" i="6" s="1"/>
  <c r="R86" i="6" l="1" a="1"/>
  <c r="R86" i="6" s="1"/>
  <c r="K96" i="6" a="1"/>
  <c r="K96" i="6" s="1"/>
  <c r="A203" i="11" a="1"/>
  <c r="A203" i="11" s="1"/>
  <c r="B158" i="4" a="1"/>
  <c r="B158" i="4" s="1"/>
  <c r="F12" i="1"/>
  <c r="G12" i="1" s="1"/>
  <c r="H12" i="1" s="1"/>
  <c r="I12" i="1" s="1"/>
  <c r="J12" i="1" s="1"/>
  <c r="K12" i="1" s="1"/>
  <c r="N96" i="6" l="1" a="1"/>
  <c r="N96" i="6" s="1"/>
  <c r="F3" i="5" a="1"/>
  <c r="F3" i="5" s="1"/>
  <c r="E50" i="1" s="1" a="1"/>
  <c r="E50" i="1" s="1"/>
  <c r="F4" i="5" a="1"/>
  <c r="F4" i="5" s="1"/>
  <c r="F10" i="5" a="1"/>
  <c r="F10" i="5" s="1"/>
  <c r="E16" i="5" s="1" a="1"/>
  <c r="E16" i="5" s="1"/>
  <c r="F14" i="5" a="1"/>
  <c r="F14" i="5" s="1"/>
  <c r="F15" i="5" a="1"/>
  <c r="F15" i="5" s="1"/>
  <c r="E34" i="5" l="1" a="1"/>
  <c r="E34" i="5" s="1"/>
  <c r="E41" i="5" a="1"/>
  <c r="E41" i="5" s="1"/>
  <c r="E17" i="5" a="1"/>
  <c r="E17" i="5" s="1"/>
  <c r="E18" i="5" s="1" a="1"/>
  <c r="E18" i="5" s="1"/>
  <c r="C72" i="1" a="1"/>
  <c r="C72" i="1" s="1"/>
  <c r="E26" i="5" a="1"/>
  <c r="E26" i="5" s="1"/>
  <c r="E30" i="5" a="1"/>
  <c r="E30" i="5" s="1"/>
  <c r="E39" i="5" l="1" a="1"/>
  <c r="E39" i="5" s="1"/>
  <c r="C1" i="3" a="1"/>
  <c r="C1" i="3" s="1"/>
  <c r="E37" i="5" l="1" a="1"/>
  <c r="E37" i="5" s="1"/>
  <c r="E38" i="5" s="1" a="1"/>
  <c r="E38" i="5" s="1"/>
  <c r="F66" i="1"/>
  <c r="F64" i="1"/>
  <c r="G64" i="1" s="1"/>
  <c r="H64" i="1" s="1"/>
  <c r="I64" i="1" s="1"/>
  <c r="J64" i="1" s="1"/>
  <c r="K64" i="1" s="1"/>
  <c r="F59" i="1"/>
  <c r="G59" i="1" s="1"/>
  <c r="H59" i="1" s="1"/>
  <c r="I59" i="1" s="1"/>
  <c r="J59" i="1" s="1"/>
  <c r="K59" i="1" s="1"/>
  <c r="C56" i="1"/>
  <c r="C55" i="1"/>
  <c r="C54" i="1"/>
  <c r="F28" i="1"/>
  <c r="G66" i="1" l="1"/>
  <c r="H66" i="1" s="1"/>
  <c r="I66" i="1" s="1"/>
  <c r="J66" i="1" s="1"/>
  <c r="K66" i="1" s="1"/>
  <c r="G28" i="1"/>
  <c r="H28" i="1" s="1"/>
  <c r="I28" i="1" s="1"/>
  <c r="J28" i="1" s="1"/>
  <c r="K28" i="1" s="1"/>
  <c r="B53" i="2" a="1"/>
  <c r="B53" i="2" s="1"/>
  <c r="B84" i="2" l="1" a="1"/>
  <c r="B84" i="2" s="1"/>
  <c r="B115" i="2" s="1" a="1"/>
  <c r="B115" i="2" s="1"/>
  <c r="G3" i="1"/>
  <c r="H3" i="1"/>
  <c r="I3" i="1"/>
  <c r="J3" i="1"/>
  <c r="K3" i="1"/>
  <c r="F10" i="1"/>
  <c r="G10" i="1" s="1"/>
  <c r="H10" i="1" s="1"/>
  <c r="I10" i="1" s="1"/>
  <c r="J10" i="1" s="1"/>
  <c r="K10" i="1" s="1"/>
  <c r="F9" i="1"/>
  <c r="F6" i="1"/>
  <c r="F5" i="1"/>
  <c r="B146" i="2" l="1" a="1"/>
  <c r="B146" i="2" s="1"/>
  <c r="G9" i="1"/>
  <c r="H9" i="1" s="1"/>
  <c r="I9" i="1" s="1"/>
  <c r="J9" i="1" s="1"/>
  <c r="K9" i="1" s="1"/>
  <c r="E146" i="2" a="1"/>
  <c r="AX37" i="2" s="1" a="1"/>
  <c r="AX37" i="2" s="1"/>
  <c r="E115" i="2" a="1"/>
  <c r="AX36" i="2" s="1" a="1"/>
  <c r="AX36" i="2" s="1"/>
  <c r="E84" i="2" a="1"/>
  <c r="AX35" i="2" s="1" a="1"/>
  <c r="AX35" i="2" s="1"/>
  <c r="E53" i="2" a="1"/>
  <c r="G5" i="1"/>
  <c r="H5" i="1" s="1"/>
  <c r="I5" i="1" s="1"/>
  <c r="J5" i="1" s="1"/>
  <c r="K5" i="1" s="1"/>
  <c r="G6" i="1"/>
  <c r="H6" i="1" s="1"/>
  <c r="I6" i="1" s="1"/>
  <c r="J6" i="1" s="1"/>
  <c r="K6" i="1" s="1"/>
  <c r="E39" i="16" l="1" a="1"/>
  <c r="E39" i="16" s="1"/>
  <c r="E40" i="5" a="1"/>
  <c r="E40" i="5" s="1"/>
  <c r="A2" i="11" a="1"/>
  <c r="A2" i="11" s="1"/>
  <c r="E53" i="2"/>
  <c r="AX34" i="2" a="1"/>
  <c r="AX34" i="2" s="1"/>
  <c r="C9" i="3" a="1"/>
  <c r="C9" i="3" s="1"/>
  <c r="E63" i="1" a="1"/>
  <c r="E63" i="1" s="1"/>
  <c r="E31" i="1" a="1"/>
  <c r="E31" i="1" s="1"/>
  <c r="E140" i="2" a="1"/>
  <c r="E140" i="2" s="1"/>
  <c r="AX21" i="2" s="1" a="1"/>
  <c r="AX21" i="2" s="1"/>
  <c r="E171" i="2" a="1"/>
  <c r="E171" i="2" s="1"/>
  <c r="AX22" i="2" s="1" a="1"/>
  <c r="AX22" i="2" s="1"/>
  <c r="E29" i="1" a="1"/>
  <c r="E29" i="1" s="1"/>
  <c r="E109" i="2" a="1"/>
  <c r="E109" i="2" s="1"/>
  <c r="AX20" i="2" s="1" a="1"/>
  <c r="AX20" i="2" s="1"/>
  <c r="E8" i="1" a="1"/>
  <c r="E8" i="1" s="1"/>
  <c r="E7" i="1" a="1"/>
  <c r="E7" i="1" s="1"/>
  <c r="E141" i="2" a="1"/>
  <c r="E141" i="2" s="1"/>
  <c r="E172" i="2" a="1"/>
  <c r="E172" i="2" s="1"/>
  <c r="E146" i="2"/>
  <c r="E110" i="2" a="1"/>
  <c r="E110" i="2" s="1"/>
  <c r="E115" i="2"/>
  <c r="E60" i="1" a="1"/>
  <c r="E60" i="1" s="1"/>
  <c r="C58" i="1" a="1"/>
  <c r="C58" i="1" s="1"/>
  <c r="E84" i="2"/>
  <c r="C102" i="6" s="1"/>
  <c r="M96" i="6" s="1" a="1"/>
  <c r="M96" i="6" s="1"/>
  <c r="C38" i="1" a="1"/>
  <c r="C38" i="1" s="1"/>
  <c r="C41" i="1" a="1"/>
  <c r="A3" i="3" a="1"/>
  <c r="E30" i="1" l="1" a="1"/>
  <c r="E30" i="1" s="1"/>
  <c r="E61" i="1" a="1"/>
  <c r="E61" i="1" s="1"/>
  <c r="E62" i="1" s="1" a="1"/>
  <c r="E62" i="1" s="1"/>
  <c r="E79" i="1" s="1" a="1"/>
  <c r="E79" i="1" s="1"/>
  <c r="T115" i="6"/>
  <c r="T116" i="6" s="1"/>
  <c r="Q96" i="6" a="1"/>
  <c r="Q96" i="6" s="1"/>
  <c r="E78" i="2" a="1"/>
  <c r="E78" i="2" s="1"/>
  <c r="E79" i="2" a="1"/>
  <c r="E79" i="2" s="1"/>
  <c r="T107" i="6"/>
  <c r="F109" i="6"/>
  <c r="F110" i="6" s="1"/>
  <c r="F111" i="6" s="1"/>
  <c r="F112" i="6" s="1"/>
  <c r="F113" i="6" s="1"/>
  <c r="F114" i="6" s="1"/>
  <c r="F115" i="6" s="1"/>
  <c r="F116" i="6" s="1"/>
  <c r="F117" i="6" s="1"/>
  <c r="E173" i="2" a="1"/>
  <c r="E173" i="2" s="1"/>
  <c r="AX26" i="2" s="1" a="1"/>
  <c r="AX26" i="2" s="1"/>
  <c r="E142" i="2" a="1"/>
  <c r="E142" i="2" s="1"/>
  <c r="AX25" i="2" s="1" a="1"/>
  <c r="AX25" i="2" s="1"/>
  <c r="E111" i="2" a="1"/>
  <c r="E111" i="2" s="1"/>
  <c r="AX24" i="2" s="1" a="1"/>
  <c r="AX24" i="2" s="1"/>
  <c r="C10" i="3" a="1"/>
  <c r="C10" i="3" s="1"/>
  <c r="C11" i="3" s="1" a="1"/>
  <c r="C11" i="3" s="1"/>
  <c r="A3" i="3"/>
  <c r="C41" i="1"/>
  <c r="C33" i="1" a="1"/>
  <c r="E80" i="2" l="1" a="1"/>
  <c r="E80" i="2" s="1"/>
  <c r="AX23" i="2" s="1" a="1"/>
  <c r="AX23" i="2" s="1"/>
  <c r="AX19" i="2" a="1"/>
  <c r="AX19" i="2" s="1"/>
  <c r="E80" i="1" a="1"/>
  <c r="E80" i="1" s="1"/>
  <c r="E34" i="1" a="1"/>
  <c r="E34" i="1" s="1"/>
  <c r="L78" i="2" a="1"/>
  <c r="L78" i="2" s="1"/>
  <c r="H109" i="6" a="1"/>
  <c r="H109" i="6" s="1"/>
  <c r="C33" i="1"/>
  <c r="L80" i="2" l="1" a="1"/>
  <c r="L80" i="2" s="1"/>
  <c r="E23" i="1" a="1"/>
  <c r="E23" i="1" s="1"/>
  <c r="AX27" i="2" s="1" a="1"/>
  <c r="AX27" i="2" s="1"/>
  <c r="E32" i="1" l="1" a="1"/>
  <c r="E32" i="1" s="1"/>
  <c r="E36" i="1" s="1" a="1"/>
  <c r="E36" i="1" s="1"/>
  <c r="E15" i="1" a="1"/>
  <c r="E15" i="1" s="1"/>
  <c r="C2" i="3" s="1" a="1"/>
  <c r="C2" i="3" s="1"/>
  <c r="C12" i="3" s="1" a="1"/>
  <c r="C12" i="3" s="1"/>
  <c r="E16" i="1" a="1"/>
  <c r="E21" i="1" a="1"/>
  <c r="E21" i="1" s="1"/>
  <c r="X33" i="9" s="1" a="1"/>
  <c r="X33" i="9" s="1"/>
  <c r="X34" i="9" s="1" a="1"/>
  <c r="X34" i="9" s="1"/>
  <c r="X41" i="9" l="1" a="1"/>
  <c r="X41" i="9" s="1"/>
  <c r="X48" i="9" a="1"/>
  <c r="X48" i="9" s="1"/>
  <c r="E78" i="1" a="1"/>
  <c r="E78" i="1" s="1"/>
  <c r="E65" i="1" a="1"/>
  <c r="E65" i="1" s="1"/>
  <c r="E81" i="2" a="1"/>
  <c r="E81" i="2" s="1"/>
  <c r="E112" i="2" a="1"/>
  <c r="E112" i="2" s="1"/>
  <c r="E16" i="1"/>
  <c r="A5" i="3" a="1"/>
  <c r="A5" i="3" s="1"/>
  <c r="E143" i="2" a="1"/>
  <c r="E143" i="2" s="1"/>
  <c r="A4" i="3" a="1"/>
  <c r="E174" i="2" a="1"/>
  <c r="E174" i="2" s="1"/>
  <c r="E51" i="1" a="1"/>
  <c r="E51" i="1" s="1"/>
  <c r="E52" i="1" s="1" a="1"/>
  <c r="E52" i="1" s="1"/>
  <c r="E56" i="1" s="1" a="1"/>
  <c r="E40" i="1" a="1"/>
  <c r="E40" i="1" s="1"/>
  <c r="E42" i="1" s="1" a="1"/>
  <c r="E42" i="1" s="1"/>
  <c r="E37" i="1" a="1"/>
  <c r="E37" i="1" s="1"/>
  <c r="E39" i="1" s="1" a="1"/>
  <c r="E39" i="1" s="1"/>
  <c r="X54" i="9" l="1" a="1"/>
  <c r="X54" i="9" s="1"/>
  <c r="B204" i="4" a="1"/>
  <c r="E43" i="1" a="1"/>
  <c r="E43" i="1" s="1"/>
  <c r="E54" i="1" s="1" a="1"/>
  <c r="E56" i="1"/>
  <c r="AF30" i="1" s="1"/>
  <c r="E45" i="1" a="1"/>
  <c r="E45" i="1" s="1"/>
  <c r="E46" i="1" s="1" a="1"/>
  <c r="E46" i="1" s="1"/>
  <c r="B94" i="4" a="1"/>
  <c r="A171" i="11" a="1"/>
  <c r="A171" i="11" s="1"/>
  <c r="A4" i="3"/>
  <c r="H30" i="3"/>
  <c r="G75" i="3"/>
  <c r="F68" i="3"/>
  <c r="G47" i="3"/>
  <c r="F30" i="3"/>
  <c r="F34" i="3"/>
  <c r="H63" i="3"/>
  <c r="G113" i="3"/>
  <c r="H92" i="3"/>
  <c r="H85" i="3"/>
  <c r="H26" i="3"/>
  <c r="F73" i="3"/>
  <c r="F63" i="3"/>
  <c r="H40" i="3"/>
  <c r="G22" i="3"/>
  <c r="H32" i="3"/>
  <c r="H47" i="3"/>
  <c r="G108" i="3"/>
  <c r="F88" i="3"/>
  <c r="G91" i="3"/>
  <c r="F96" i="3"/>
  <c r="H107" i="3"/>
  <c r="F25" i="3"/>
  <c r="G43" i="3"/>
  <c r="H87" i="3"/>
  <c r="F111" i="3"/>
  <c r="H90" i="3"/>
  <c r="F21" i="3"/>
  <c r="H79" i="3"/>
  <c r="F40" i="3"/>
  <c r="G77" i="3"/>
  <c r="H34" i="3"/>
  <c r="F81" i="3"/>
  <c r="F71" i="3"/>
  <c r="H50" i="3"/>
  <c r="G25" i="3"/>
  <c r="G56" i="3"/>
  <c r="H108" i="3"/>
  <c r="K23" i="3"/>
  <c r="J17" i="3"/>
  <c r="K72" i="3"/>
  <c r="K114" i="3"/>
  <c r="K78" i="3"/>
  <c r="K48" i="3"/>
  <c r="J69" i="3"/>
  <c r="K40" i="3"/>
  <c r="K42" i="3"/>
  <c r="J113" i="3"/>
  <c r="K92" i="3"/>
  <c r="J107" i="3"/>
  <c r="J109" i="3"/>
  <c r="K83" i="3"/>
  <c r="J77" i="3"/>
  <c r="J92" i="3"/>
  <c r="J62" i="3"/>
  <c r="J106" i="3"/>
  <c r="K27" i="3"/>
  <c r="K29" i="3"/>
  <c r="J56" i="3"/>
  <c r="K56" i="3"/>
  <c r="K44" i="3"/>
  <c r="K99" i="3"/>
  <c r="K50" i="3"/>
  <c r="I80" i="3"/>
  <c r="I66" i="3"/>
  <c r="I18" i="3"/>
  <c r="I101" i="3"/>
  <c r="I103" i="3"/>
  <c r="I22" i="3"/>
  <c r="I86" i="3"/>
  <c r="I76" i="3"/>
  <c r="I34" i="3"/>
  <c r="I113" i="3"/>
  <c r="I91" i="3"/>
  <c r="I29" i="3"/>
  <c r="N16" i="3"/>
  <c r="N101" i="3"/>
  <c r="M108" i="3"/>
  <c r="N67" i="3"/>
  <c r="M51" i="3"/>
  <c r="N60" i="3"/>
  <c r="M41" i="3"/>
  <c r="H25" i="3"/>
  <c r="H96" i="3"/>
  <c r="G89" i="3"/>
  <c r="H68" i="3"/>
  <c r="H61" i="3"/>
  <c r="F29" i="3"/>
  <c r="F49" i="3"/>
  <c r="G19" i="3"/>
  <c r="F114" i="3"/>
  <c r="F107" i="3"/>
  <c r="H21" i="3"/>
  <c r="G94" i="3"/>
  <c r="G84" i="3"/>
  <c r="F64" i="3"/>
  <c r="G17" i="3"/>
  <c r="F62" i="3"/>
  <c r="H54" i="3"/>
  <c r="G90" i="3"/>
  <c r="G109" i="3"/>
  <c r="G62" i="3"/>
  <c r="H77" i="3"/>
  <c r="G65" i="3"/>
  <c r="F20" i="3"/>
  <c r="H64" i="3"/>
  <c r="G57" i="3"/>
  <c r="F101" i="3"/>
  <c r="F112" i="3"/>
  <c r="G42" i="3"/>
  <c r="H16" i="3"/>
  <c r="H72" i="3"/>
  <c r="F59" i="3"/>
  <c r="H29" i="3"/>
  <c r="G102" i="3"/>
  <c r="G92" i="3"/>
  <c r="F72" i="3"/>
  <c r="H33" i="3"/>
  <c r="F23" i="3"/>
  <c r="F56" i="3"/>
  <c r="J59" i="3"/>
  <c r="J23" i="3"/>
  <c r="K110" i="3"/>
  <c r="K43" i="3"/>
  <c r="J114" i="3"/>
  <c r="K86" i="3"/>
  <c r="K37" i="3"/>
  <c r="J44" i="3"/>
  <c r="J91" i="3"/>
  <c r="J16" i="3"/>
  <c r="J53" i="3"/>
  <c r="K102" i="3"/>
  <c r="K59" i="3"/>
  <c r="K63" i="3"/>
  <c r="K104" i="3"/>
  <c r="K106" i="3"/>
  <c r="J75" i="3"/>
  <c r="J35" i="3"/>
  <c r="J95" i="3"/>
  <c r="J78" i="3"/>
  <c r="J97" i="3"/>
  <c r="K94" i="3"/>
  <c r="K45" i="3"/>
  <c r="K36" i="3"/>
  <c r="K20" i="3"/>
  <c r="I16" i="3"/>
  <c r="I109" i="3"/>
  <c r="I102" i="3"/>
  <c r="I68" i="3"/>
  <c r="I93" i="3"/>
  <c r="I40" i="3"/>
  <c r="I44" i="3"/>
  <c r="I107" i="3"/>
  <c r="I99" i="3"/>
  <c r="I51" i="3"/>
  <c r="I77" i="3"/>
  <c r="I46" i="3"/>
  <c r="M109" i="3"/>
  <c r="N43" i="3"/>
  <c r="N58" i="3"/>
  <c r="M54" i="3"/>
  <c r="M113" i="3"/>
  <c r="N98" i="3"/>
  <c r="M47" i="3"/>
  <c r="G31" i="3"/>
  <c r="G50" i="3"/>
  <c r="H110" i="3"/>
  <c r="F90" i="3"/>
  <c r="F83" i="3"/>
  <c r="F24" i="3"/>
  <c r="G70" i="3"/>
  <c r="G60" i="3"/>
  <c r="G27" i="3"/>
  <c r="H19" i="3"/>
  <c r="F43" i="3"/>
  <c r="H115" i="3"/>
  <c r="H105" i="3"/>
  <c r="G85" i="3"/>
  <c r="H38" i="3"/>
  <c r="G83" i="3"/>
  <c r="F76" i="3"/>
  <c r="G55" i="3"/>
  <c r="G48" i="3"/>
  <c r="F105" i="3"/>
  <c r="F33" i="3"/>
  <c r="F93" i="3"/>
  <c r="G41" i="3"/>
  <c r="F86" i="3"/>
  <c r="H78" i="3"/>
  <c r="F58" i="3"/>
  <c r="F51" i="3"/>
  <c r="G37" i="3"/>
  <c r="H84" i="3"/>
  <c r="H43" i="3"/>
  <c r="H27" i="3"/>
  <c r="F46" i="3"/>
  <c r="G106" i="3"/>
  <c r="H113" i="3"/>
  <c r="G93" i="3"/>
  <c r="G35" i="3"/>
  <c r="G51" i="3"/>
  <c r="H111" i="3"/>
  <c r="J20" i="3"/>
  <c r="K69" i="3"/>
  <c r="K39" i="3"/>
  <c r="J60" i="3"/>
  <c r="J43" i="3"/>
  <c r="J45" i="3"/>
  <c r="J86" i="3"/>
  <c r="J37" i="3"/>
  <c r="J52" i="3"/>
  <c r="J88" i="3"/>
  <c r="K67" i="3"/>
  <c r="K95" i="3"/>
  <c r="K97" i="3"/>
  <c r="K101" i="3"/>
  <c r="J108" i="3"/>
  <c r="K35" i="3"/>
  <c r="J104" i="3"/>
  <c r="J73" i="3"/>
  <c r="J24" i="3"/>
  <c r="K28" i="3"/>
  <c r="J26" i="3"/>
  <c r="K100" i="3"/>
  <c r="J94" i="3"/>
  <c r="J96" i="3"/>
  <c r="J58" i="3"/>
  <c r="I33" i="3"/>
  <c r="I87" i="3"/>
  <c r="I69" i="3"/>
  <c r="I54" i="3"/>
  <c r="I17" i="3"/>
  <c r="I20" i="3"/>
  <c r="I41" i="3"/>
  <c r="I82" i="3"/>
  <c r="I39" i="3"/>
  <c r="I52" i="3"/>
  <c r="G26" i="3"/>
  <c r="G46" i="3"/>
  <c r="H103" i="3"/>
  <c r="G111" i="3"/>
  <c r="G104" i="3"/>
  <c r="F19" i="3"/>
  <c r="H91" i="3"/>
  <c r="H81" i="3"/>
  <c r="G61" i="3"/>
  <c r="F41" i="3"/>
  <c r="G59" i="3"/>
  <c r="F52" i="3"/>
  <c r="F77" i="3"/>
  <c r="H106" i="3"/>
  <c r="F18" i="3"/>
  <c r="H104" i="3"/>
  <c r="G97" i="3"/>
  <c r="H76" i="3"/>
  <c r="H69" i="3"/>
  <c r="F84" i="3"/>
  <c r="H28" i="3"/>
  <c r="H97" i="3"/>
  <c r="H20" i="3"/>
  <c r="G107" i="3"/>
  <c r="F100" i="3"/>
  <c r="G79" i="3"/>
  <c r="G72" i="3"/>
  <c r="G32" i="3"/>
  <c r="G53" i="3"/>
  <c r="G86" i="3"/>
  <c r="H22" i="3"/>
  <c r="G67" i="3"/>
  <c r="F60" i="3"/>
  <c r="F22" i="3"/>
  <c r="H114" i="3"/>
  <c r="G105" i="3"/>
  <c r="G115" i="3"/>
  <c r="H101" i="3"/>
  <c r="K47" i="3"/>
  <c r="K62" i="3"/>
  <c r="K26" i="3"/>
  <c r="J66" i="3"/>
  <c r="K38" i="3"/>
  <c r="J115" i="3"/>
  <c r="K81" i="3"/>
  <c r="K64" i="3"/>
  <c r="K66" i="3"/>
  <c r="K93" i="3"/>
  <c r="K105" i="3"/>
  <c r="J67" i="3"/>
  <c r="J79" i="3"/>
  <c r="K30" i="3"/>
  <c r="J101" i="3"/>
  <c r="K16" i="3"/>
  <c r="J64" i="3"/>
  <c r="K76" i="3"/>
  <c r="K51" i="3"/>
  <c r="K53" i="3"/>
  <c r="K91" i="3"/>
  <c r="G21" i="3"/>
  <c r="H67" i="3"/>
  <c r="H57" i="3"/>
  <c r="F109" i="3"/>
  <c r="F17" i="3"/>
  <c r="G40" i="3"/>
  <c r="F113" i="3"/>
  <c r="F103" i="3"/>
  <c r="H82" i="3"/>
  <c r="F36" i="3"/>
  <c r="H80" i="3"/>
  <c r="G73" i="3"/>
  <c r="H52" i="3"/>
  <c r="H45" i="3"/>
  <c r="G39" i="3"/>
  <c r="F85" i="3"/>
  <c r="F45" i="3"/>
  <c r="F98" i="3"/>
  <c r="F91" i="3"/>
  <c r="G52" i="3"/>
  <c r="H18" i="3"/>
  <c r="F66" i="3"/>
  <c r="F42" i="3"/>
  <c r="G98" i="3"/>
  <c r="G58" i="3"/>
  <c r="H100" i="3"/>
  <c r="H93" i="3"/>
  <c r="F70" i="3"/>
  <c r="H55" i="3"/>
  <c r="H86" i="3"/>
  <c r="H17" i="3"/>
  <c r="H88" i="3"/>
  <c r="G81" i="3"/>
  <c r="H60" i="3"/>
  <c r="H53" i="3"/>
  <c r="H73" i="3"/>
  <c r="F44" i="3"/>
  <c r="K68" i="3"/>
  <c r="K85" i="3"/>
  <c r="J98" i="3"/>
  <c r="J55" i="3"/>
  <c r="K80" i="3"/>
  <c r="K31" i="3"/>
  <c r="K33" i="3"/>
  <c r="K87" i="3"/>
  <c r="J81" i="3"/>
  <c r="J38" i="3"/>
  <c r="J18" i="3"/>
  <c r="K34" i="3"/>
  <c r="K49" i="3"/>
  <c r="J49" i="3"/>
  <c r="K52" i="3"/>
  <c r="J30" i="3"/>
  <c r="J32" i="3"/>
  <c r="J50" i="3"/>
  <c r="J40" i="3"/>
  <c r="J68" i="3"/>
  <c r="J25" i="3"/>
  <c r="K115" i="3"/>
  <c r="K54" i="3"/>
  <c r="K82" i="3"/>
  <c r="J87" i="3"/>
  <c r="I90" i="3"/>
  <c r="I37" i="3"/>
  <c r="I50" i="3"/>
  <c r="I67" i="3"/>
  <c r="I78" i="3"/>
  <c r="I45" i="3"/>
  <c r="I24" i="3"/>
  <c r="I110" i="3"/>
  <c r="H42" i="3"/>
  <c r="F89" i="3"/>
  <c r="F79" i="3"/>
  <c r="H58" i="3"/>
  <c r="G38" i="3"/>
  <c r="H56" i="3"/>
  <c r="G49" i="3"/>
  <c r="G66" i="3"/>
  <c r="F104" i="3"/>
  <c r="F31" i="3"/>
  <c r="F102" i="3"/>
  <c r="H94" i="3"/>
  <c r="F74" i="3"/>
  <c r="F67" i="3"/>
  <c r="G34" i="3"/>
  <c r="G54" i="3"/>
  <c r="G44" i="3"/>
  <c r="F39" i="3"/>
  <c r="G112" i="3"/>
  <c r="F95" i="3"/>
  <c r="F35" i="3"/>
  <c r="H95" i="3"/>
  <c r="F37" i="3"/>
  <c r="F57" i="3"/>
  <c r="F47" i="3"/>
  <c r="F61" i="3"/>
  <c r="F115" i="3"/>
  <c r="H112" i="3"/>
  <c r="F99" i="3"/>
  <c r="F55" i="3"/>
  <c r="G23" i="3"/>
  <c r="F110" i="3"/>
  <c r="H102" i="3"/>
  <c r="F82" i="3"/>
  <c r="F75" i="3"/>
  <c r="F38" i="3"/>
  <c r="F108" i="3"/>
  <c r="J93" i="3"/>
  <c r="J57" i="3"/>
  <c r="J27" i="3"/>
  <c r="K60" i="3"/>
  <c r="K41" i="3"/>
  <c r="J112" i="3"/>
  <c r="J82" i="3"/>
  <c r="J46" i="3"/>
  <c r="J74" i="3"/>
  <c r="J76" i="3"/>
  <c r="J42" i="3"/>
  <c r="J83" i="3"/>
  <c r="J85" i="3"/>
  <c r="K19" i="3"/>
  <c r="K74" i="3"/>
  <c r="K25" i="3"/>
  <c r="J102" i="3"/>
  <c r="J48" i="3"/>
  <c r="J33" i="3"/>
  <c r="J61" i="3"/>
  <c r="K84" i="3"/>
  <c r="K55" i="3"/>
  <c r="J39" i="3"/>
  <c r="K75" i="3"/>
  <c r="J100" i="3"/>
  <c r="I38" i="3"/>
  <c r="I81" i="3"/>
  <c r="I74" i="3"/>
  <c r="I53" i="3"/>
  <c r="I43" i="3"/>
  <c r="I25" i="3"/>
  <c r="I55" i="3"/>
  <c r="I105" i="3"/>
  <c r="I71" i="3"/>
  <c r="I64" i="3"/>
  <c r="I62" i="3"/>
  <c r="I79" i="3"/>
  <c r="I111" i="3"/>
  <c r="M27" i="3"/>
  <c r="M39" i="3"/>
  <c r="H37" i="3"/>
  <c r="G110" i="3"/>
  <c r="G100" i="3"/>
  <c r="F80" i="3"/>
  <c r="G33" i="3"/>
  <c r="F78" i="3"/>
  <c r="H70" i="3"/>
  <c r="F50" i="3"/>
  <c r="H41" i="3"/>
  <c r="H36" i="3"/>
  <c r="G74" i="3"/>
  <c r="G16" i="3"/>
  <c r="G95" i="3"/>
  <c r="G88" i="3"/>
  <c r="G29" i="3"/>
  <c r="H75" i="3"/>
  <c r="H65" i="3"/>
  <c r="G45" i="3"/>
  <c r="G20" i="3"/>
  <c r="G63" i="3"/>
  <c r="F94" i="3"/>
  <c r="H98" i="3"/>
  <c r="F32" i="3"/>
  <c r="G78" i="3"/>
  <c r="G68" i="3"/>
  <c r="F48" i="3"/>
  <c r="G30" i="3"/>
  <c r="H83" i="3"/>
  <c r="F28" i="3"/>
  <c r="H24" i="3"/>
  <c r="G18" i="3"/>
  <c r="G114" i="3"/>
  <c r="F69" i="3"/>
  <c r="G103" i="3"/>
  <c r="G96" i="3"/>
  <c r="F106" i="3"/>
  <c r="G76" i="3"/>
  <c r="J22" i="3"/>
  <c r="K71" i="3"/>
  <c r="J65" i="3"/>
  <c r="J51" i="3"/>
  <c r="J90" i="3"/>
  <c r="J105" i="3"/>
  <c r="K32" i="3"/>
  <c r="J84" i="3"/>
  <c r="K24" i="3"/>
  <c r="K103" i="3"/>
  <c r="J80" i="3"/>
  <c r="K65" i="3"/>
  <c r="K112" i="3"/>
  <c r="J99" i="3"/>
  <c r="J110" i="3"/>
  <c r="K18" i="3"/>
  <c r="J47" i="3"/>
  <c r="K22" i="3"/>
  <c r="J103" i="3"/>
  <c r="J54" i="3"/>
  <c r="J71" i="3"/>
  <c r="J89" i="3"/>
  <c r="K21" i="3"/>
  <c r="J34" i="3"/>
  <c r="K96" i="3"/>
  <c r="I98" i="3"/>
  <c r="I35" i="3"/>
  <c r="I26" i="3"/>
  <c r="I97" i="3"/>
  <c r="I104" i="3"/>
  <c r="I56" i="3"/>
  <c r="I92" i="3"/>
  <c r="I65" i="3"/>
  <c r="I108" i="3"/>
  <c r="I94" i="3"/>
  <c r="I42" i="3"/>
  <c r="I19" i="3"/>
  <c r="I112" i="3"/>
  <c r="N70" i="3"/>
  <c r="M77" i="3"/>
  <c r="M28" i="3"/>
  <c r="M31" i="3"/>
  <c r="N74" i="3"/>
  <c r="N89" i="3"/>
  <c r="N87" i="3"/>
  <c r="F54" i="3"/>
  <c r="G64" i="3"/>
  <c r="F87" i="3"/>
  <c r="H89" i="3"/>
  <c r="H49" i="3"/>
  <c r="K70" i="3"/>
  <c r="K58" i="3"/>
  <c r="K113" i="3"/>
  <c r="K108" i="3"/>
  <c r="I70" i="3"/>
  <c r="I32" i="3"/>
  <c r="I63" i="3"/>
  <c r="I83" i="3"/>
  <c r="M110" i="3"/>
  <c r="N28" i="3"/>
  <c r="M33" i="3"/>
  <c r="M21" i="3"/>
  <c r="N52" i="3"/>
  <c r="M40" i="3"/>
  <c r="M23" i="3"/>
  <c r="M38" i="3"/>
  <c r="M95" i="3"/>
  <c r="N61" i="3"/>
  <c r="N82" i="3"/>
  <c r="M89" i="3"/>
  <c r="N100" i="3"/>
  <c r="N38" i="3"/>
  <c r="N56" i="3"/>
  <c r="N94" i="3"/>
  <c r="N109" i="3"/>
  <c r="M49" i="3"/>
  <c r="M82" i="3"/>
  <c r="M46" i="3"/>
  <c r="N31" i="3"/>
  <c r="N105" i="3"/>
  <c r="L96" i="3"/>
  <c r="L24" i="3"/>
  <c r="L29" i="3"/>
  <c r="L21" i="3"/>
  <c r="L90" i="3"/>
  <c r="L18" i="3"/>
  <c r="L16" i="3"/>
  <c r="L104" i="3"/>
  <c r="L70" i="3"/>
  <c r="L48" i="3"/>
  <c r="L91" i="3"/>
  <c r="L25" i="3"/>
  <c r="H46" i="3"/>
  <c r="H31" i="3"/>
  <c r="H66" i="3"/>
  <c r="G69" i="3"/>
  <c r="H71" i="3"/>
  <c r="J19" i="3"/>
  <c r="K73" i="3"/>
  <c r="K57" i="3"/>
  <c r="I85" i="3"/>
  <c r="I106" i="3"/>
  <c r="I73" i="3"/>
  <c r="I60" i="3"/>
  <c r="N35" i="3"/>
  <c r="M91" i="3"/>
  <c r="M32" i="3"/>
  <c r="N27" i="3"/>
  <c r="M76" i="3"/>
  <c r="N90" i="3"/>
  <c r="N54" i="3"/>
  <c r="M61" i="3"/>
  <c r="N17" i="3"/>
  <c r="M56" i="3"/>
  <c r="M97" i="3"/>
  <c r="N32" i="3"/>
  <c r="M18" i="3"/>
  <c r="M104" i="3"/>
  <c r="M87" i="3"/>
  <c r="N110" i="3"/>
  <c r="N23" i="3"/>
  <c r="M81" i="3"/>
  <c r="M22" i="3"/>
  <c r="M43" i="3"/>
  <c r="M84" i="3"/>
  <c r="M112" i="3"/>
  <c r="M74" i="3"/>
  <c r="L89" i="3"/>
  <c r="L68" i="3"/>
  <c r="L66" i="3"/>
  <c r="L39" i="3"/>
  <c r="L31" i="3"/>
  <c r="L36" i="3"/>
  <c r="L105" i="3"/>
  <c r="L77" i="3"/>
  <c r="L69" i="3"/>
  <c r="L92" i="3"/>
  <c r="L26" i="3"/>
  <c r="L43" i="3"/>
  <c r="L41" i="3"/>
  <c r="L46" i="3"/>
  <c r="L94" i="3"/>
  <c r="L84" i="3"/>
  <c r="G71" i="3"/>
  <c r="M79" i="3"/>
  <c r="M66" i="3"/>
  <c r="L20" i="3"/>
  <c r="L60" i="3"/>
  <c r="F53" i="3"/>
  <c r="H51" i="3"/>
  <c r="H48" i="3"/>
  <c r="F26" i="3"/>
  <c r="J31" i="3"/>
  <c r="J21" i="3"/>
  <c r="J41" i="3"/>
  <c r="J29" i="3"/>
  <c r="I36" i="3"/>
  <c r="I88" i="3"/>
  <c r="I27" i="3"/>
  <c r="I31" i="3"/>
  <c r="N59" i="3"/>
  <c r="N51" i="3"/>
  <c r="M102" i="3"/>
  <c r="N20" i="3"/>
  <c r="N65" i="3"/>
  <c r="N80" i="3"/>
  <c r="M103" i="3"/>
  <c r="N62" i="3"/>
  <c r="M37" i="3"/>
  <c r="M115" i="3"/>
  <c r="M26" i="3"/>
  <c r="M34" i="3"/>
  <c r="N77" i="3"/>
  <c r="M20" i="3"/>
  <c r="N93" i="3"/>
  <c r="N39" i="3"/>
  <c r="M83" i="3"/>
  <c r="N108" i="3"/>
  <c r="N34" i="3"/>
  <c r="N83" i="3"/>
  <c r="N111" i="3"/>
  <c r="M92" i="3"/>
  <c r="L57" i="3"/>
  <c r="L107" i="3"/>
  <c r="L99" i="3"/>
  <c r="L97" i="3"/>
  <c r="L83" i="3"/>
  <c r="L75" i="3"/>
  <c r="L80" i="3"/>
  <c r="L72" i="3"/>
  <c r="L50" i="3"/>
  <c r="L23" i="3"/>
  <c r="L62" i="3"/>
  <c r="L37" i="3"/>
  <c r="L42" i="3"/>
  <c r="L113" i="3"/>
  <c r="L27" i="3"/>
  <c r="L110" i="3"/>
  <c r="L28" i="3"/>
  <c r="L64" i="3"/>
  <c r="H59" i="3"/>
  <c r="N55" i="3"/>
  <c r="M17" i="3"/>
  <c r="N71" i="3"/>
  <c r="L44" i="3"/>
  <c r="L30" i="3"/>
  <c r="G101" i="3"/>
  <c r="G36" i="3"/>
  <c r="G82" i="3"/>
  <c r="H62" i="3"/>
  <c r="H74" i="3"/>
  <c r="J36" i="3"/>
  <c r="J111" i="3"/>
  <c r="K61" i="3"/>
  <c r="I115" i="3"/>
  <c r="I59" i="3"/>
  <c r="I75" i="3"/>
  <c r="I30" i="3"/>
  <c r="N97" i="3"/>
  <c r="M68" i="3"/>
  <c r="M69" i="3"/>
  <c r="M101" i="3"/>
  <c r="M105" i="3"/>
  <c r="M36" i="3"/>
  <c r="N21" i="3"/>
  <c r="M85" i="3"/>
  <c r="N113" i="3"/>
  <c r="N57" i="3"/>
  <c r="M64" i="3"/>
  <c r="N103" i="3"/>
  <c r="N19" i="3"/>
  <c r="N47" i="3"/>
  <c r="M42" i="3"/>
  <c r="N40" i="3"/>
  <c r="N41" i="3"/>
  <c r="N69" i="3"/>
  <c r="N25" i="3"/>
  <c r="N76" i="3"/>
  <c r="M107" i="3"/>
  <c r="N68" i="3"/>
  <c r="L101" i="3"/>
  <c r="L106" i="3"/>
  <c r="L98" i="3"/>
  <c r="L71" i="3"/>
  <c r="L63" i="3"/>
  <c r="L74" i="3"/>
  <c r="L40" i="3"/>
  <c r="L58" i="3"/>
  <c r="L54" i="3"/>
  <c r="L73" i="3"/>
  <c r="L109" i="3"/>
  <c r="L17" i="3"/>
  <c r="L47" i="3"/>
  <c r="L111" i="3"/>
  <c r="L61" i="3"/>
  <c r="L56" i="3"/>
  <c r="H99" i="3"/>
  <c r="K46" i="3"/>
  <c r="I21" i="3"/>
  <c r="M53" i="3"/>
  <c r="N81" i="3"/>
  <c r="M48" i="3"/>
  <c r="M73" i="3"/>
  <c r="M99" i="3"/>
  <c r="N102" i="3"/>
  <c r="L78" i="3"/>
  <c r="L67" i="3"/>
  <c r="G28" i="3"/>
  <c r="F16" i="3"/>
  <c r="F65" i="3"/>
  <c r="H23" i="3"/>
  <c r="H44" i="3"/>
  <c r="K111" i="3"/>
  <c r="K88" i="3"/>
  <c r="J70" i="3"/>
  <c r="I28" i="3"/>
  <c r="I23" i="3"/>
  <c r="I49" i="3"/>
  <c r="I58" i="3"/>
  <c r="N26" i="3"/>
  <c r="N95" i="3"/>
  <c r="M106" i="3"/>
  <c r="M94" i="3"/>
  <c r="N99" i="3"/>
  <c r="M29" i="3"/>
  <c r="M70" i="3"/>
  <c r="M111" i="3"/>
  <c r="N22" i="3"/>
  <c r="N50" i="3"/>
  <c r="N91" i="3"/>
  <c r="M30" i="3"/>
  <c r="M100" i="3"/>
  <c r="N85" i="3"/>
  <c r="M67" i="3"/>
  <c r="M62" i="3"/>
  <c r="M90" i="3"/>
  <c r="N42" i="3"/>
  <c r="M52" i="3"/>
  <c r="N37" i="3"/>
  <c r="M44" i="3"/>
  <c r="M72" i="3"/>
  <c r="L81" i="3"/>
  <c r="L52" i="3"/>
  <c r="L108" i="3"/>
  <c r="L115" i="3"/>
  <c r="L112" i="3"/>
  <c r="F97" i="3"/>
  <c r="N36" i="3"/>
  <c r="N79" i="3"/>
  <c r="L65" i="3"/>
  <c r="L45" i="3"/>
  <c r="G99" i="3"/>
  <c r="H109" i="3"/>
  <c r="G80" i="3"/>
  <c r="G87" i="3"/>
  <c r="K17" i="3"/>
  <c r="J28" i="3"/>
  <c r="J63" i="3"/>
  <c r="K89" i="3"/>
  <c r="I84" i="3"/>
  <c r="I57" i="3"/>
  <c r="I47" i="3"/>
  <c r="I114" i="3"/>
  <c r="N63" i="3"/>
  <c r="N75" i="3"/>
  <c r="N64" i="3"/>
  <c r="N18" i="3"/>
  <c r="M71" i="3"/>
  <c r="N24" i="3"/>
  <c r="M63" i="3"/>
  <c r="N44" i="3"/>
  <c r="N92" i="3"/>
  <c r="N48" i="3"/>
  <c r="N84" i="3"/>
  <c r="M65" i="3"/>
  <c r="M93" i="3"/>
  <c r="M57" i="3"/>
  <c r="N106" i="3"/>
  <c r="M55" i="3"/>
  <c r="N104" i="3"/>
  <c r="N49" i="3"/>
  <c r="M45" i="3"/>
  <c r="N88" i="3"/>
  <c r="M114" i="3"/>
  <c r="N73" i="3"/>
  <c r="L35" i="3"/>
  <c r="L33" i="3"/>
  <c r="L19" i="3"/>
  <c r="L88" i="3"/>
  <c r="L93" i="3"/>
  <c r="L85" i="3"/>
  <c r="L51" i="3"/>
  <c r="L82" i="3"/>
  <c r="L79" i="3"/>
  <c r="K79" i="3"/>
  <c r="I96" i="3"/>
  <c r="M25" i="3"/>
  <c r="M19" i="3"/>
  <c r="N33" i="3"/>
  <c r="L49" i="3"/>
  <c r="L22" i="3"/>
  <c r="F92" i="3"/>
  <c r="G24" i="3"/>
  <c r="F27" i="3"/>
  <c r="H39" i="3"/>
  <c r="K109" i="3"/>
  <c r="K90" i="3"/>
  <c r="K77" i="3"/>
  <c r="J72" i="3"/>
  <c r="I72" i="3"/>
  <c r="I89" i="3"/>
  <c r="I48" i="3"/>
  <c r="I95" i="3"/>
  <c r="M60" i="3"/>
  <c r="N29" i="3"/>
  <c r="M86" i="3"/>
  <c r="M35" i="3"/>
  <c r="N53" i="3"/>
  <c r="N107" i="3"/>
  <c r="M24" i="3"/>
  <c r="M98" i="3"/>
  <c r="M96" i="3"/>
  <c r="N30" i="3"/>
  <c r="N45" i="3"/>
  <c r="M58" i="3"/>
  <c r="N72" i="3"/>
  <c r="M50" i="3"/>
  <c r="N86" i="3"/>
  <c r="N114" i="3"/>
  <c r="N78" i="3"/>
  <c r="N96" i="3"/>
  <c r="M59" i="3"/>
  <c r="M16" i="3"/>
  <c r="N112" i="3"/>
  <c r="M75" i="3"/>
  <c r="L34" i="3"/>
  <c r="L38" i="3"/>
  <c r="L76" i="3"/>
  <c r="L55" i="3"/>
  <c r="L53" i="3"/>
  <c r="L103" i="3"/>
  <c r="L95" i="3"/>
  <c r="L100" i="3"/>
  <c r="L59" i="3"/>
  <c r="L114" i="3"/>
  <c r="L87" i="3"/>
  <c r="L102" i="3"/>
  <c r="H35" i="3"/>
  <c r="K107" i="3"/>
  <c r="K98" i="3"/>
  <c r="I100" i="3"/>
  <c r="I61" i="3"/>
  <c r="M78" i="3"/>
  <c r="N115" i="3"/>
  <c r="N46" i="3"/>
  <c r="M88" i="3"/>
  <c r="N66" i="3"/>
  <c r="M80" i="3"/>
  <c r="L86" i="3"/>
  <c r="L32" i="3"/>
  <c r="C42" i="3"/>
  <c r="C109" i="3"/>
  <c r="E77" i="3"/>
  <c r="C44" i="3"/>
  <c r="D100" i="3"/>
  <c r="D32" i="3"/>
  <c r="E108" i="3"/>
  <c r="E74" i="3"/>
  <c r="D43" i="3"/>
  <c r="E110" i="3"/>
  <c r="C105" i="3"/>
  <c r="D50" i="3"/>
  <c r="C19" i="3"/>
  <c r="E88" i="3"/>
  <c r="E41" i="3"/>
  <c r="D86" i="3"/>
  <c r="E28" i="3"/>
  <c r="E95" i="3"/>
  <c r="D64" i="3"/>
  <c r="E30" i="3"/>
  <c r="C87" i="3"/>
  <c r="E97" i="3"/>
  <c r="C77" i="3"/>
  <c r="E45" i="3"/>
  <c r="D115" i="3"/>
  <c r="D68" i="3"/>
  <c r="D59" i="3"/>
  <c r="C37" i="3"/>
  <c r="E106" i="3"/>
  <c r="D75" i="3"/>
  <c r="D28" i="3"/>
  <c r="D39" i="3"/>
  <c r="C58" i="3"/>
  <c r="C24" i="3"/>
  <c r="E93" i="3"/>
  <c r="C60" i="3"/>
  <c r="E115" i="3"/>
  <c r="C102" i="3"/>
  <c r="D58" i="3"/>
  <c r="E49" i="3"/>
  <c r="D79" i="3"/>
  <c r="C115" i="3"/>
  <c r="D81" i="3"/>
  <c r="E113" i="3"/>
  <c r="E102" i="3"/>
  <c r="E81" i="3"/>
  <c r="D104" i="3"/>
  <c r="C114" i="3"/>
  <c r="E48" i="3"/>
  <c r="D61" i="3"/>
  <c r="D38" i="3"/>
  <c r="D57" i="3"/>
  <c r="C78" i="3"/>
  <c r="D53" i="3"/>
  <c r="D67" i="3"/>
  <c r="C43" i="3"/>
  <c r="D24" i="3"/>
  <c r="E53" i="3"/>
  <c r="E36" i="3"/>
  <c r="C75" i="3"/>
  <c r="D63" i="3"/>
  <c r="D29" i="3"/>
  <c r="C99" i="3"/>
  <c r="D65" i="3"/>
  <c r="C57" i="3"/>
  <c r="E80" i="3"/>
  <c r="D26" i="3"/>
  <c r="C96" i="3"/>
  <c r="E64" i="3"/>
  <c r="E17" i="3"/>
  <c r="D70" i="3"/>
  <c r="E71" i="3"/>
  <c r="D40" i="3"/>
  <c r="C110" i="3"/>
  <c r="C63" i="3"/>
  <c r="E60" i="3"/>
  <c r="C50" i="3"/>
  <c r="D22" i="3"/>
  <c r="E85" i="3"/>
  <c r="C52" i="3"/>
  <c r="E51" i="3"/>
  <c r="D31" i="3"/>
  <c r="D98" i="3"/>
  <c r="C67" i="3"/>
  <c r="D33" i="3"/>
  <c r="E89" i="3"/>
  <c r="C84" i="3"/>
  <c r="C27" i="3"/>
  <c r="E96" i="3"/>
  <c r="E63" i="3"/>
  <c r="D45" i="3"/>
  <c r="C97" i="3"/>
  <c r="C59" i="3"/>
  <c r="C17" i="3"/>
  <c r="C21" i="3"/>
  <c r="D97" i="3"/>
  <c r="C91" i="3"/>
  <c r="D94" i="3"/>
  <c r="D109" i="3"/>
  <c r="C18" i="3"/>
  <c r="E84" i="3"/>
  <c r="E50" i="3"/>
  <c r="D19" i="3"/>
  <c r="E86" i="3"/>
  <c r="D102" i="3"/>
  <c r="E33" i="3"/>
  <c r="E47" i="3"/>
  <c r="E19" i="3"/>
  <c r="C86" i="3"/>
  <c r="C39" i="3"/>
  <c r="C26" i="3"/>
  <c r="C93" i="3"/>
  <c r="E61" i="3"/>
  <c r="C28" i="3"/>
  <c r="D84" i="3"/>
  <c r="C85" i="3"/>
  <c r="D71" i="3"/>
  <c r="D37" i="3"/>
  <c r="C107" i="3"/>
  <c r="D73" i="3"/>
  <c r="D110" i="3"/>
  <c r="E52" i="3"/>
  <c r="E18" i="3"/>
  <c r="D88" i="3"/>
  <c r="E54" i="3"/>
  <c r="C73" i="3"/>
  <c r="D76" i="3"/>
  <c r="E79" i="3"/>
  <c r="D48" i="3"/>
  <c r="C25" i="3"/>
  <c r="C71" i="3"/>
  <c r="E90" i="3"/>
  <c r="E100" i="3"/>
  <c r="E66" i="3"/>
  <c r="D35" i="3"/>
  <c r="C41" i="3"/>
  <c r="E99" i="3"/>
  <c r="E68" i="3"/>
  <c r="E70" i="3"/>
  <c r="C80" i="3"/>
  <c r="D95" i="3"/>
  <c r="C30" i="3"/>
  <c r="D21" i="3"/>
  <c r="C20" i="3"/>
  <c r="E39" i="3"/>
  <c r="C31" i="3"/>
  <c r="E20" i="3"/>
  <c r="C79" i="3"/>
  <c r="D87" i="3"/>
  <c r="D89" i="3"/>
  <c r="C113" i="3"/>
  <c r="D20" i="3"/>
  <c r="E112" i="3"/>
  <c r="C94" i="3"/>
  <c r="D108" i="3"/>
  <c r="E38" i="3"/>
  <c r="C106" i="3"/>
  <c r="C72" i="3"/>
  <c r="E40" i="3"/>
  <c r="C108" i="3"/>
  <c r="E83" i="3"/>
  <c r="C89" i="3"/>
  <c r="C69" i="3"/>
  <c r="E37" i="3"/>
  <c r="D107" i="3"/>
  <c r="D60" i="3"/>
  <c r="D47" i="3"/>
  <c r="D114" i="3"/>
  <c r="C83" i="3"/>
  <c r="D49" i="3"/>
  <c r="D30" i="3"/>
  <c r="C112" i="3"/>
  <c r="E92" i="3"/>
  <c r="E58" i="3"/>
  <c r="D27" i="3"/>
  <c r="E94" i="3"/>
  <c r="E107" i="3"/>
  <c r="C74" i="3"/>
  <c r="C40" i="3"/>
  <c r="E109" i="3"/>
  <c r="C76" i="3"/>
  <c r="C33" i="3"/>
  <c r="C34" i="3"/>
  <c r="C101" i="3"/>
  <c r="E69" i="3"/>
  <c r="C36" i="3"/>
  <c r="D92" i="3"/>
  <c r="D96" i="3"/>
  <c r="D18" i="3"/>
  <c r="C88" i="3"/>
  <c r="E56" i="3"/>
  <c r="C111" i="3"/>
  <c r="E67" i="3"/>
  <c r="E23" i="3"/>
  <c r="D93" i="3"/>
  <c r="C62" i="3"/>
  <c r="E16" i="3"/>
  <c r="C49" i="3"/>
  <c r="D23" i="3"/>
  <c r="D90" i="3"/>
  <c r="D25" i="3"/>
  <c r="E34" i="3"/>
  <c r="E59" i="3"/>
  <c r="D16" i="3"/>
  <c r="D55" i="3"/>
  <c r="E22" i="3"/>
  <c r="C29" i="3"/>
  <c r="D62" i="3"/>
  <c r="E62" i="3"/>
  <c r="D85" i="3"/>
  <c r="D72" i="3"/>
  <c r="C45" i="3"/>
  <c r="E114" i="3"/>
  <c r="D83" i="3"/>
  <c r="D36" i="3"/>
  <c r="C65" i="3"/>
  <c r="E44" i="3"/>
  <c r="E111" i="3"/>
  <c r="D80" i="3"/>
  <c r="E46" i="3"/>
  <c r="C103" i="3"/>
  <c r="C90" i="3"/>
  <c r="C56" i="3"/>
  <c r="E24" i="3"/>
  <c r="C92" i="3"/>
  <c r="E35" i="3"/>
  <c r="D41" i="3"/>
  <c r="E31" i="3"/>
  <c r="D101" i="3"/>
  <c r="C70" i="3"/>
  <c r="C23" i="3"/>
  <c r="D69" i="3"/>
  <c r="C16" i="3"/>
  <c r="E82" i="3"/>
  <c r="D51" i="3"/>
  <c r="E105" i="3"/>
  <c r="D103" i="3"/>
  <c r="E76" i="3"/>
  <c r="E42" i="3"/>
  <c r="D112" i="3"/>
  <c r="E78" i="3"/>
  <c r="D54" i="3"/>
  <c r="D105" i="3"/>
  <c r="C61" i="3"/>
  <c r="E29" i="3"/>
  <c r="D99" i="3"/>
  <c r="D52" i="3"/>
  <c r="D42" i="3"/>
  <c r="C46" i="3"/>
  <c r="D44" i="3"/>
  <c r="D34" i="3"/>
  <c r="E72" i="3"/>
  <c r="E26" i="3"/>
  <c r="C64" i="3"/>
  <c r="C100" i="3"/>
  <c r="E75" i="3"/>
  <c r="D82" i="3"/>
  <c r="D17" i="3"/>
  <c r="E73" i="3"/>
  <c r="E87" i="3"/>
  <c r="D106" i="3"/>
  <c r="C22" i="3"/>
  <c r="E98" i="3"/>
  <c r="D74" i="3"/>
  <c r="E55" i="3"/>
  <c r="E27" i="3"/>
  <c r="D46" i="3"/>
  <c r="C95" i="3"/>
  <c r="D66" i="3"/>
  <c r="C35" i="3"/>
  <c r="E104" i="3"/>
  <c r="E57" i="3"/>
  <c r="C82" i="3"/>
  <c r="C66" i="3"/>
  <c r="C32" i="3"/>
  <c r="E101" i="3"/>
  <c r="C68" i="3"/>
  <c r="D78" i="3"/>
  <c r="D111" i="3"/>
  <c r="D77" i="3"/>
  <c r="D113" i="3"/>
  <c r="E43" i="3"/>
  <c r="C55" i="3"/>
  <c r="C53" i="3"/>
  <c r="E21" i="3"/>
  <c r="D91" i="3"/>
  <c r="C38" i="3"/>
  <c r="C104" i="3"/>
  <c r="E25" i="3"/>
  <c r="C98" i="3"/>
  <c r="E32" i="3"/>
  <c r="C81" i="3"/>
  <c r="C51" i="3"/>
  <c r="C48" i="3"/>
  <c r="D56" i="3"/>
  <c r="E91" i="3"/>
  <c r="E65" i="3"/>
  <c r="C47" i="3"/>
  <c r="C54" i="3"/>
  <c r="E103" i="3"/>
  <c r="B64" i="4" a="1"/>
  <c r="A140" i="11" a="1"/>
  <c r="A140" i="11" s="1"/>
  <c r="E67" i="1"/>
  <c r="F67" i="1"/>
  <c r="K67" i="1"/>
  <c r="H67" i="1"/>
  <c r="J67" i="1"/>
  <c r="I67" i="1"/>
  <c r="G67" i="1"/>
  <c r="A109" i="11" a="1"/>
  <c r="A109" i="11" s="1"/>
  <c r="B34" i="4" a="1"/>
  <c r="A78" i="11" a="1"/>
  <c r="A78" i="11" s="1"/>
  <c r="B4" i="4" a="1"/>
  <c r="N229" i="4" l="1"/>
  <c r="E47" i="1" a="1"/>
  <c r="E47" i="1" s="1"/>
  <c r="E48" i="1" s="1" a="1"/>
  <c r="E48" i="1" s="1"/>
  <c r="B204" i="4"/>
  <c r="N203" i="4" s="1"/>
  <c r="B64" i="4"/>
  <c r="N63" i="4" s="1"/>
  <c r="E73" i="1" a="1"/>
  <c r="E73" i="1" s="1"/>
  <c r="E74" i="1" s="1" a="1"/>
  <c r="E74" i="1" s="1"/>
  <c r="E75" i="1" s="1" a="1"/>
  <c r="B4" i="4"/>
  <c r="N3" i="4" s="1"/>
  <c r="Q16" i="3" a="1"/>
  <c r="Q16" i="3" s="1"/>
  <c r="T16" i="3" a="1"/>
  <c r="T16" i="3" s="1"/>
  <c r="AB16" i="3" a="1"/>
  <c r="AB16" i="3" s="1"/>
  <c r="B34" i="4"/>
  <c r="N33" i="4" s="1"/>
  <c r="E68" i="1" a="1"/>
  <c r="E68" i="1" s="1"/>
  <c r="E69" i="1" s="1" a="1"/>
  <c r="Y16" i="3" a="1"/>
  <c r="Y16" i="3" s="1"/>
  <c r="X16" i="3" a="1"/>
  <c r="X16" i="3" s="1"/>
  <c r="AA16" i="3" a="1"/>
  <c r="AA16" i="3" s="1"/>
  <c r="W16" i="3" a="1"/>
  <c r="W16" i="3" s="1"/>
  <c r="S16" i="3" a="1"/>
  <c r="S16" i="3" s="1"/>
  <c r="R16" i="3" a="1"/>
  <c r="R16" i="3" s="1"/>
  <c r="Z16" i="3" a="1"/>
  <c r="Z16" i="3" s="1"/>
  <c r="V16" i="3" a="1"/>
  <c r="V16" i="3" s="1"/>
  <c r="U16" i="3" a="1"/>
  <c r="U16" i="3" s="1"/>
  <c r="B94" i="4"/>
  <c r="N93" i="4" s="1"/>
  <c r="E54" i="1"/>
  <c r="AF31" i="1" s="1"/>
  <c r="E75" i="1" l="1"/>
  <c r="AF33" i="1" s="1"/>
  <c r="E69" i="1"/>
  <c r="W17" i="3" a="1"/>
  <c r="W17" i="3" s="1"/>
  <c r="Z17" i="3" a="1"/>
  <c r="Z17" i="3" s="1"/>
  <c r="T17" i="3" a="1"/>
  <c r="T17" i="3" s="1"/>
  <c r="Q17" i="3" a="1"/>
  <c r="Q17" i="3" s="1"/>
  <c r="E55" i="1" a="1"/>
  <c r="E70" i="1" l="1" a="1"/>
  <c r="E70" i="1" s="1"/>
  <c r="AF32" i="1"/>
  <c r="P56" i="1"/>
  <c r="E55" i="1"/>
  <c r="X56" i="1" l="1"/>
  <c r="AF29" i="1"/>
  <c r="AD43" i="1" s="1"/>
  <c r="E77" i="1" a="1"/>
  <c r="E77" i="1" s="1"/>
  <c r="P69" i="1" s="1"/>
  <c r="E22" i="5" l="1" a="1"/>
  <c r="E22" i="5" s="1"/>
  <c r="N227" i="4" l="1"/>
  <c r="N228" i="4"/>
  <c r="A251" i="11" l="1" a="1"/>
  <c r="A251" i="11" s="1"/>
  <c r="B124" i="4" a="1"/>
  <c r="B124" i="4" l="1"/>
  <c r="N123" i="4" s="1"/>
  <c r="N157" i="4"/>
  <c r="A4" i="4" a="1"/>
  <c r="N156" i="4" s="1"/>
  <c r="N145" i="4" l="1"/>
  <c r="N135" i="4"/>
  <c r="N154" i="4"/>
  <c r="N139" i="4"/>
  <c r="N126" i="4"/>
  <c r="N142" i="4"/>
  <c r="N155" i="4"/>
  <c r="N134" i="4"/>
  <c r="N151" i="4"/>
  <c r="N130" i="4"/>
  <c r="N136" i="4"/>
  <c r="N144" i="4"/>
  <c r="N149" i="4"/>
  <c r="N146" i="4"/>
  <c r="N128" i="4"/>
  <c r="N143" i="4"/>
  <c r="N141" i="4"/>
  <c r="N140" i="4"/>
  <c r="N133" i="4"/>
  <c r="N147" i="4"/>
  <c r="N132" i="4"/>
  <c r="N131" i="4"/>
  <c r="N150" i="4"/>
  <c r="N127" i="4"/>
  <c r="N152" i="4"/>
  <c r="N153" i="4"/>
  <c r="N148" i="4"/>
  <c r="N124" i="4"/>
  <c r="N61" i="4"/>
  <c r="N212" i="4"/>
  <c r="N208" i="4"/>
  <c r="N34" i="4"/>
  <c r="N225" i="4"/>
  <c r="N197" i="4"/>
  <c r="N22" i="4"/>
  <c r="N167" i="4"/>
  <c r="N40" i="4"/>
  <c r="N35" i="4"/>
  <c r="N222" i="4"/>
  <c r="N26" i="4"/>
  <c r="N113" i="4"/>
  <c r="N106" i="4"/>
  <c r="N94" i="4"/>
  <c r="N122" i="4"/>
  <c r="N186" i="4"/>
  <c r="N204" i="4"/>
  <c r="N111" i="4"/>
  <c r="N223" i="4"/>
  <c r="N183" i="4"/>
  <c r="N38" i="4"/>
  <c r="N56" i="4"/>
  <c r="N13" i="4"/>
  <c r="N224" i="4"/>
  <c r="N187" i="4"/>
  <c r="N25" i="4"/>
  <c r="N59" i="4"/>
  <c r="N171" i="4"/>
  <c r="N14" i="4"/>
  <c r="N175" i="4"/>
  <c r="N49" i="4"/>
  <c r="N83" i="4"/>
  <c r="N112" i="4"/>
  <c r="N178" i="4"/>
  <c r="N115" i="4"/>
  <c r="N196" i="4"/>
  <c r="N219" i="4"/>
  <c r="N81" i="4"/>
  <c r="N32" i="4"/>
  <c r="N119" i="4"/>
  <c r="N173" i="4"/>
  <c r="N220" i="4"/>
  <c r="N120" i="4"/>
  <c r="N18" i="4"/>
  <c r="N100" i="4"/>
  <c r="N164" i="4"/>
  <c r="N53" i="4"/>
  <c r="N206" i="4"/>
  <c r="N216" i="4"/>
  <c r="N182" i="4"/>
  <c r="N170" i="4"/>
  <c r="N194" i="4"/>
  <c r="N21" i="4"/>
  <c r="N10" i="4"/>
  <c r="N29" i="4"/>
  <c r="N180" i="4"/>
  <c r="N107" i="4"/>
  <c r="N73" i="4"/>
  <c r="N176" i="4"/>
  <c r="N28" i="4"/>
  <c r="N179" i="4"/>
  <c r="N214" i="4"/>
  <c r="N65" i="4"/>
  <c r="N207" i="4"/>
  <c r="N116" i="4"/>
  <c r="N177" i="4"/>
  <c r="N90" i="4"/>
  <c r="N217" i="4"/>
  <c r="N77" i="4"/>
  <c r="N163" i="4"/>
  <c r="N8" i="4"/>
  <c r="N5" i="4"/>
  <c r="N89" i="4"/>
  <c r="N159" i="4"/>
  <c r="N54" i="4"/>
  <c r="N201" i="4"/>
  <c r="N172" i="4"/>
  <c r="N47" i="4"/>
  <c r="N30" i="4"/>
  <c r="N71" i="4"/>
  <c r="N174" i="4"/>
  <c r="N20" i="4"/>
  <c r="N188" i="4"/>
  <c r="N117" i="4"/>
  <c r="N200" i="4"/>
  <c r="N19" i="4"/>
  <c r="N50" i="4"/>
  <c r="N98" i="4"/>
  <c r="A4" i="4"/>
  <c r="N4" i="4" s="1"/>
  <c r="N184" i="4"/>
  <c r="N48" i="4"/>
  <c r="N52" i="4"/>
  <c r="N12" i="4"/>
  <c r="N168" i="4"/>
  <c r="N15" i="4"/>
  <c r="N62" i="4"/>
  <c r="N31" i="4"/>
  <c r="N193" i="4"/>
  <c r="N209" i="4"/>
  <c r="N210" i="4"/>
  <c r="N205" i="4"/>
  <c r="N80" i="4"/>
  <c r="N195" i="4"/>
  <c r="N76" i="4"/>
  <c r="N189" i="4"/>
  <c r="N118" i="4"/>
  <c r="N86" i="4"/>
  <c r="N70" i="4"/>
  <c r="N226" i="4"/>
  <c r="N74" i="4"/>
  <c r="N103" i="4"/>
  <c r="N58" i="4"/>
  <c r="N78" i="4"/>
  <c r="N215" i="4"/>
  <c r="N27" i="4"/>
  <c r="N44" i="4"/>
  <c r="N109" i="4"/>
  <c r="N66" i="4"/>
  <c r="N45" i="4"/>
  <c r="N95" i="4"/>
  <c r="N6" i="4"/>
  <c r="N64" i="4"/>
  <c r="N158" i="4"/>
  <c r="N17" i="4"/>
  <c r="N102" i="4"/>
  <c r="N121" i="4"/>
  <c r="N75" i="4"/>
  <c r="N87" i="4"/>
  <c r="N221" i="4"/>
  <c r="N84" i="4"/>
  <c r="N202" i="4"/>
  <c r="N24" i="4"/>
  <c r="N190" i="4"/>
  <c r="N11" i="4"/>
  <c r="N166" i="4"/>
  <c r="N92" i="4"/>
  <c r="N16" i="4"/>
  <c r="N97" i="4"/>
  <c r="N105" i="4"/>
  <c r="N91" i="4"/>
  <c r="N69" i="4"/>
  <c r="N55" i="4"/>
  <c r="N41" i="4"/>
  <c r="N108" i="4"/>
  <c r="N199" i="4"/>
  <c r="N211" i="4"/>
  <c r="N160" i="4"/>
  <c r="N88" i="4"/>
  <c r="N192" i="4"/>
  <c r="N51" i="4"/>
  <c r="N218" i="4"/>
  <c r="N23" i="4"/>
  <c r="N9" i="4"/>
  <c r="N191" i="4"/>
  <c r="N79" i="4"/>
  <c r="N67" i="4"/>
  <c r="N82" i="4"/>
  <c r="N96" i="4"/>
  <c r="N99" i="4"/>
  <c r="N46" i="4"/>
  <c r="N169" i="4"/>
  <c r="N37" i="4"/>
  <c r="N198" i="4"/>
  <c r="N36" i="4"/>
  <c r="N42" i="4"/>
  <c r="N165" i="4"/>
  <c r="N60" i="4"/>
  <c r="N101" i="4"/>
  <c r="N161" i="4"/>
  <c r="N104" i="4"/>
  <c r="N181" i="4"/>
  <c r="N110" i="4"/>
  <c r="N85" i="4"/>
  <c r="N72" i="4"/>
  <c r="N213" i="4"/>
  <c r="N185" i="4"/>
  <c r="N68" i="4"/>
  <c r="N43" i="4"/>
  <c r="N57" i="4"/>
  <c r="N7" i="4"/>
  <c r="N162" i="4"/>
  <c r="N114" i="4"/>
  <c r="N39" i="4"/>
  <c r="N129" i="4"/>
  <c r="N137" i="4"/>
  <c r="N138" i="4"/>
  <c r="N12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Jakob Rogstadius</author>
  </authors>
  <commentList>
    <comment ref="E13" authorId="0" shapeId="0" xr:uid="{BA5F6136-7647-4010-A2D5-3B7D9FC8EF6C}">
      <text>
        <r>
          <rPr>
            <b/>
            <sz val="9"/>
            <color indexed="81"/>
            <rFont val="Tahoma"/>
            <charset val="1"/>
          </rPr>
          <t>Jakob Rogstadius:</t>
        </r>
        <r>
          <rPr>
            <sz val="9"/>
            <color indexed="81"/>
            <rFont val="Tahoma"/>
            <charset val="1"/>
          </rPr>
          <t xml:space="preserve">
35% for SE</t>
        </r>
      </text>
    </comment>
    <comment ref="F13" authorId="0" shapeId="0" xr:uid="{28316B98-26F1-48CD-9BC8-745E224B2845}">
      <text>
        <r>
          <rPr>
            <b/>
            <sz val="9"/>
            <color indexed="81"/>
            <rFont val="Tahoma"/>
            <charset val="1"/>
          </rPr>
          <t xml:space="preserve">Jakob Rogstadius:
</t>
        </r>
        <r>
          <rPr>
            <sz val="9"/>
            <color indexed="81"/>
            <rFont val="Tahoma"/>
            <family val="2"/>
          </rPr>
          <t>40</t>
        </r>
        <r>
          <rPr>
            <sz val="9"/>
            <color indexed="81"/>
            <rFont val="Tahoma"/>
            <charset val="1"/>
          </rPr>
          <t>% for SE</t>
        </r>
      </text>
    </comment>
    <comment ref="E20" authorId="0" shapeId="0" xr:uid="{FB38A4B5-A18B-4FB2-8DEB-48F0E8A3308B}">
      <text>
        <r>
          <rPr>
            <b/>
            <sz val="9"/>
            <color indexed="81"/>
            <rFont val="Tahoma"/>
            <family val="2"/>
          </rPr>
          <t>Jakob Rogstadius:</t>
        </r>
        <r>
          <rPr>
            <sz val="9"/>
            <color indexed="81"/>
            <rFont val="Tahoma"/>
            <family val="2"/>
          </rPr>
          <t xml:space="preserve">
0.2 for SE</t>
        </r>
      </text>
    </comment>
    <comment ref="E29" authorId="0" shapeId="0" xr:uid="{9BA5D3BC-2E21-4E0D-820F-86FB5197F50E}">
      <text>
        <r>
          <rPr>
            <b/>
            <sz val="9"/>
            <color indexed="81"/>
            <rFont val="Tahoma"/>
            <charset val="1"/>
          </rPr>
          <t>Jakob Rogstadius:</t>
        </r>
        <r>
          <rPr>
            <sz val="9"/>
            <color indexed="81"/>
            <rFont val="Tahoma"/>
            <charset val="1"/>
          </rPr>
          <t xml:space="preserve">
SE 0.09</t>
        </r>
      </text>
    </comment>
    <comment ref="L29" authorId="0" shapeId="0" xr:uid="{E807CE2E-A90E-4F2D-B8AD-174C0D992BAD}">
      <text>
        <r>
          <rPr>
            <b/>
            <sz val="9"/>
            <color indexed="81"/>
            <rFont val="Tahoma"/>
            <charset val="1"/>
          </rPr>
          <t>Jakob Rogstadius:</t>
        </r>
        <r>
          <rPr>
            <sz val="9"/>
            <color indexed="81"/>
            <rFont val="Tahoma"/>
            <charset val="1"/>
          </rPr>
          <t xml:space="preserve">
SE -5%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Jakob Rogstadius</author>
  </authors>
  <commentList>
    <comment ref="E3" authorId="0" shapeId="0" xr:uid="{B69737DF-54DE-4577-B2F7-89D91DCC63BC}">
      <text>
        <r>
          <rPr>
            <b/>
            <sz val="9"/>
            <color indexed="81"/>
            <rFont val="Tahoma"/>
            <family val="2"/>
          </rPr>
          <t>Jakob Rogstadius:</t>
        </r>
        <r>
          <rPr>
            <sz val="9"/>
            <color indexed="81"/>
            <rFont val="Tahoma"/>
            <family val="2"/>
          </rPr>
          <t xml:space="preserve">
var 683</t>
        </r>
      </text>
    </comment>
    <comment ref="E4" authorId="0" shapeId="0" xr:uid="{E1A5A6CC-7BD7-4FBD-AB40-DC31DD546F71}">
      <text>
        <r>
          <rPr>
            <b/>
            <sz val="9"/>
            <color rgb="FF000000"/>
            <rFont val="Tahoma"/>
            <family val="2"/>
          </rPr>
          <t>Jakob Rogstadius:</t>
        </r>
        <r>
          <rPr>
            <sz val="9"/>
            <color rgb="FF000000"/>
            <rFont val="Tahoma"/>
            <family val="2"/>
          </rPr>
          <t xml:space="preserve">
</t>
        </r>
        <r>
          <rPr>
            <sz val="9"/>
            <color rgb="FF000000"/>
            <rFont val="Tahoma"/>
            <family val="2"/>
          </rPr>
          <t>var 32000</t>
        </r>
      </text>
    </comment>
    <comment ref="E5" authorId="0" shapeId="0" xr:uid="{1A786F1C-A66A-4CE4-9AE0-728912F1F176}">
      <text>
        <r>
          <rPr>
            <b/>
            <sz val="9"/>
            <color rgb="FF000000"/>
            <rFont val="Tahoma"/>
            <family val="2"/>
          </rPr>
          <t>Jakob Rogstadius:</t>
        </r>
        <r>
          <rPr>
            <sz val="9"/>
            <color rgb="FF000000"/>
            <rFont val="Tahoma"/>
            <family val="2"/>
          </rPr>
          <t xml:space="preserve">
</t>
        </r>
        <r>
          <rPr>
            <sz val="9"/>
            <color rgb="FF000000"/>
            <rFont val="Tahoma"/>
            <family val="2"/>
          </rPr>
          <t>var 142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Jakob Rogstadius</author>
  </authors>
  <commentList>
    <comment ref="G5" authorId="0" shapeId="0" xr:uid="{621236BA-1256-49E3-8460-871FB2F891D2}">
      <text>
        <r>
          <rPr>
            <b/>
            <sz val="9"/>
            <color indexed="81"/>
            <rFont val="Tahoma"/>
            <family val="2"/>
          </rPr>
          <t>Jakob Rogstadius:</t>
        </r>
        <r>
          <rPr>
            <sz val="9"/>
            <color indexed="81"/>
            <rFont val="Tahoma"/>
            <family val="2"/>
          </rPr>
          <t xml:space="preserve">
250</t>
        </r>
      </text>
    </comment>
    <comment ref="H5" authorId="0" shapeId="0" xr:uid="{6E13FEF4-292D-4616-B9A6-8249178F268B}">
      <text>
        <r>
          <rPr>
            <b/>
            <sz val="9"/>
            <color indexed="81"/>
            <rFont val="Tahoma"/>
            <family val="2"/>
          </rPr>
          <t>Jakob Rogstadius:</t>
        </r>
        <r>
          <rPr>
            <sz val="9"/>
            <color indexed="81"/>
            <rFont val="Tahoma"/>
            <family val="2"/>
          </rPr>
          <t xml:space="preserve">
250</t>
        </r>
      </text>
    </comment>
    <comment ref="F6" authorId="0" shapeId="0" xr:uid="{18FA0C64-5CB6-4685-B7F1-20DBD16A9863}">
      <text>
        <r>
          <rPr>
            <b/>
            <sz val="9"/>
            <color indexed="81"/>
            <rFont val="Tahoma"/>
            <family val="2"/>
          </rPr>
          <t>Jakob Rogstadius:</t>
        </r>
        <r>
          <rPr>
            <sz val="9"/>
            <color indexed="81"/>
            <rFont val="Tahoma"/>
            <family val="2"/>
          </rPr>
          <t xml:space="preserve">
Dubbelbemanning finns inom färskvaror, då rullar bilarna 21 h följt av 9 h stillestånd. 
Stor skillnad mellan att hämta släp och att vänta på att kunden ska tömma/fylla. 15 arbetstid och 8 h körtid kan båda vara begränsande.
Arbetstidslagen och kör- och vilotidslagen.</t>
        </r>
      </text>
    </comment>
    <comment ref="G6" authorId="0" shapeId="0" xr:uid="{A43EC61E-029C-414E-BB7D-14645E373AAC}">
      <text>
        <r>
          <rPr>
            <b/>
            <sz val="9"/>
            <color indexed="81"/>
            <rFont val="Tahoma"/>
            <family val="2"/>
          </rPr>
          <t>Jakob Rogstadius:</t>
        </r>
        <r>
          <rPr>
            <sz val="9"/>
            <color indexed="81"/>
            <rFont val="Tahoma"/>
            <family val="2"/>
          </rPr>
          <t xml:space="preserve">
9</t>
        </r>
      </text>
    </comment>
    <comment ref="H6" authorId="0" shapeId="0" xr:uid="{D94C1FF9-5961-402D-81F1-6602F07F0143}">
      <text>
        <r>
          <rPr>
            <b/>
            <sz val="9"/>
            <color indexed="81"/>
            <rFont val="Tahoma"/>
            <family val="2"/>
          </rPr>
          <t>Jakob Rogstadius:</t>
        </r>
        <r>
          <rPr>
            <sz val="9"/>
            <color indexed="81"/>
            <rFont val="Tahoma"/>
            <family val="2"/>
          </rPr>
          <t xml:space="preserve">
8.2
</t>
        </r>
      </text>
    </comment>
    <comment ref="G13" authorId="0" shapeId="0" xr:uid="{2110AB71-AC59-49A2-8F01-79D030564819}">
      <text>
        <r>
          <rPr>
            <b/>
            <sz val="9"/>
            <color indexed="81"/>
            <rFont val="Tahoma"/>
            <family val="2"/>
          </rPr>
          <t>Jakob Rogstadius:</t>
        </r>
        <r>
          <rPr>
            <sz val="9"/>
            <color indexed="81"/>
            <rFont val="Tahoma"/>
            <family val="2"/>
          </rPr>
          <t xml:space="preserve">
12</t>
        </r>
      </text>
    </comment>
    <comment ref="H13" authorId="0" shapeId="0" xr:uid="{79561C43-D33E-47A5-9F44-D6CDB99FC9E0}">
      <text>
        <r>
          <rPr>
            <b/>
            <sz val="9"/>
            <color indexed="81"/>
            <rFont val="Tahoma"/>
            <family val="2"/>
          </rPr>
          <t>Jakob Rogstadius:</t>
        </r>
        <r>
          <rPr>
            <sz val="9"/>
            <color indexed="81"/>
            <rFont val="Tahoma"/>
            <family val="2"/>
          </rPr>
          <t xml:space="preserve">
9</t>
        </r>
      </text>
    </comment>
    <comment ref="H14" authorId="0" shapeId="0" xr:uid="{9FCA0A46-129F-443A-91A0-3E18BB9150BD}">
      <text>
        <r>
          <rPr>
            <b/>
            <sz val="9"/>
            <color indexed="81"/>
            <rFont val="Tahoma"/>
            <family val="2"/>
          </rPr>
          <t>Jakob Rogstadius:</t>
        </r>
        <r>
          <rPr>
            <sz val="9"/>
            <color indexed="81"/>
            <rFont val="Tahoma"/>
            <family val="2"/>
          </rPr>
          <t xml:space="preserve">
10-15 min</t>
        </r>
      </text>
    </comment>
    <comment ref="H15" authorId="0" shapeId="0" xr:uid="{577F1A09-C6B7-4C92-AFAA-6F311E833BF3}">
      <text>
        <r>
          <rPr>
            <b/>
            <sz val="9"/>
            <color indexed="81"/>
            <rFont val="Tahoma"/>
            <family val="2"/>
          </rPr>
          <t>Jakob Rogstadius:</t>
        </r>
        <r>
          <rPr>
            <sz val="9"/>
            <color indexed="81"/>
            <rFont val="Tahoma"/>
            <family val="2"/>
          </rPr>
          <t xml:space="preserve">
ofta 30+15</t>
        </r>
      </text>
    </comment>
    <comment ref="G17" authorId="0" shapeId="0" xr:uid="{85119B87-B25B-4E68-B246-06714F1A4A19}">
      <text>
        <r>
          <rPr>
            <b/>
            <sz val="9"/>
            <color indexed="81"/>
            <rFont val="Tahoma"/>
            <family val="2"/>
          </rPr>
          <t>Jakob Rogstadius:</t>
        </r>
        <r>
          <rPr>
            <sz val="9"/>
            <color indexed="81"/>
            <rFont val="Tahoma"/>
            <family val="2"/>
          </rPr>
          <t xml:space="preserve">
310</t>
        </r>
      </text>
    </comment>
    <comment ref="H17" authorId="0" shapeId="0" xr:uid="{35EE3750-BD24-4BA8-A958-79783E5A0547}">
      <text>
        <r>
          <rPr>
            <b/>
            <sz val="9"/>
            <color indexed="81"/>
            <rFont val="Tahoma"/>
            <family val="2"/>
          </rPr>
          <t>Jakob Rogstadius:</t>
        </r>
        <r>
          <rPr>
            <sz val="9"/>
            <color indexed="81"/>
            <rFont val="Tahoma"/>
            <family val="2"/>
          </rPr>
          <t xml:space="preserve">
310 kr/h</t>
        </r>
      </text>
    </comment>
    <comment ref="E19" authorId="0" shapeId="0" xr:uid="{4C1B9812-B32C-469A-93EA-7B4D215DCD51}">
      <text>
        <r>
          <rPr>
            <b/>
            <sz val="9"/>
            <color indexed="81"/>
            <rFont val="Tahoma"/>
            <family val="2"/>
          </rPr>
          <t>Jakob Rogstadius:</t>
        </r>
        <r>
          <rPr>
            <sz val="9"/>
            <color indexed="81"/>
            <rFont val="Tahoma"/>
            <family val="2"/>
          </rPr>
          <t xml:space="preserve">
400k euro med släp
200-300k för dragbil
el-släp skulle kosta mer</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<sst xmlns="http://schemas.openxmlformats.org/spreadsheetml/2006/main" count="1858" uniqueCount="678">
  <si>
    <t>Annual change</t>
  </si>
  <si>
    <t>SoC window</t>
  </si>
  <si>
    <t>ratio</t>
  </si>
  <si>
    <t>Calendar lifetime</t>
  </si>
  <si>
    <t>years</t>
  </si>
  <si>
    <t>Cycle lifetime</t>
  </si>
  <si>
    <t>cycles</t>
  </si>
  <si>
    <t>End of life definition</t>
  </si>
  <si>
    <t>c</t>
  </si>
  <si>
    <t>kWh per kg</t>
  </si>
  <si>
    <t>kWh per liter</t>
  </si>
  <si>
    <t>Pack cost</t>
  </si>
  <si>
    <t>Residual value if recycled this year</t>
  </si>
  <si>
    <t>Lifetime</t>
  </si>
  <si>
    <t>Residual value at recycling year</t>
  </si>
  <si>
    <t>€ per cycled kWh</t>
  </si>
  <si>
    <t>Year 2020</t>
  </si>
  <si>
    <t>HGV60</t>
  </si>
  <si>
    <t>HGV40</t>
  </si>
  <si>
    <t>MGV24</t>
  </si>
  <si>
    <t>MGV16</t>
  </si>
  <si>
    <t>Common</t>
  </si>
  <si>
    <t>Annual distance</t>
  </si>
  <si>
    <t>km</t>
  </si>
  <si>
    <t>h</t>
  </si>
  <si>
    <t>Cargo capacity value</t>
  </si>
  <si>
    <t>euro per ton-km</t>
  </si>
  <si>
    <t>euro per m3-km</t>
  </si>
  <si>
    <t>Total weight limit</t>
  </si>
  <si>
    <t>kg</t>
  </si>
  <si>
    <t>BEV</t>
  </si>
  <si>
    <t>Chassis weight, excl battery</t>
  </si>
  <si>
    <t>Chassis cost, excl battery</t>
  </si>
  <si>
    <t>euro</t>
  </si>
  <si>
    <t>Maintenance cost</t>
  </si>
  <si>
    <t>ratio per year</t>
  </si>
  <si>
    <t>Residual value at end of life</t>
  </si>
  <si>
    <t>kW</t>
  </si>
  <si>
    <t>Power, peak</t>
  </si>
  <si>
    <t>Min range buffer</t>
  </si>
  <si>
    <t>ICEV</t>
  </si>
  <si>
    <t>Chassis weight</t>
  </si>
  <si>
    <t>Chassis cost</t>
  </si>
  <si>
    <t>liter per km</t>
  </si>
  <si>
    <t>Specific energy</t>
  </si>
  <si>
    <t>Energy density</t>
  </si>
  <si>
    <t>Battery weight</t>
  </si>
  <si>
    <t>ton</t>
  </si>
  <si>
    <t>Annual energy use</t>
  </si>
  <si>
    <t>kWh</t>
  </si>
  <si>
    <t>Energy consumption</t>
  </si>
  <si>
    <t>kWh per km</t>
  </si>
  <si>
    <t>Cost of weight</t>
  </si>
  <si>
    <t>Battery volume</t>
  </si>
  <si>
    <t>m3</t>
  </si>
  <si>
    <t>Cost of volume</t>
  </si>
  <si>
    <t>€ per kWh</t>
  </si>
  <si>
    <t>Cost of capital</t>
  </si>
  <si>
    <t>% per year</t>
  </si>
  <si>
    <t>Battery price</t>
  </si>
  <si>
    <t>€</t>
  </si>
  <si>
    <t>€ per km</t>
  </si>
  <si>
    <t>Cost of lost time</t>
  </si>
  <si>
    <t>hours</t>
  </si>
  <si>
    <t>Mean speed</t>
  </si>
  <si>
    <t>km per hour</t>
  </si>
  <si>
    <t>Workday length</t>
  </si>
  <si>
    <t>Extra charging stops</t>
  </si>
  <si>
    <t>stops per day</t>
  </si>
  <si>
    <t>stops per km</t>
  </si>
  <si>
    <t>Charging stop duration, overhead</t>
  </si>
  <si>
    <t>Range buffer at charging</t>
  </si>
  <si>
    <t>Natural stops per day</t>
  </si>
  <si>
    <t>count</t>
  </si>
  <si>
    <t>Probability of no charging at natural stop</t>
  </si>
  <si>
    <t>Minimum pack size to power motor</t>
  </si>
  <si>
    <t>Source</t>
  </si>
  <si>
    <t>Guess</t>
  </si>
  <si>
    <t>Year of manufacture</t>
  </si>
  <si>
    <t>Cycle</t>
  </si>
  <si>
    <t>group</t>
  </si>
  <si>
    <t>variable</t>
  </si>
  <si>
    <t>subgroup</t>
  </si>
  <si>
    <t>unit</t>
  </si>
  <si>
    <t>Public sector interest rate</t>
  </si>
  <si>
    <t>percent</t>
  </si>
  <si>
    <t>euro per kWh</t>
  </si>
  <si>
    <t>euro per liter</t>
  </si>
  <si>
    <t>Economy</t>
  </si>
  <si>
    <t>kg CO₂ per liter</t>
  </si>
  <si>
    <t>euro per kg</t>
  </si>
  <si>
    <t>kg per kWh</t>
  </si>
  <si>
    <t>euro per km</t>
  </si>
  <si>
    <t>CO₂</t>
  </si>
  <si>
    <t>euro per h</t>
  </si>
  <si>
    <t>n/a</t>
  </si>
  <si>
    <t>World</t>
  </si>
  <si>
    <t>Comment</t>
  </si>
  <si>
    <t>Sources</t>
  </si>
  <si>
    <t>Comments</t>
  </si>
  <si>
    <t xml:space="preserve">Statslåneräntan speglar den riskfria räntan (se riksgalden.se). Tar medelvärde av PWC-studien och senaste 50-åriga statsobligationen som gavs ut. </t>
  </si>
  <si>
    <t>https://www.pwc.se/sv/pdf-reports/corporate-finance/riskpremiestudien-2021.pdf, samt https://www.riksgalden.se/sv/var-verksamhet/statslanerantan/</t>
  </si>
  <si>
    <t>Företag med hög kreditvärdighet, AAA/AA. Förutsätter att ränta rör företagslån. För stora företag är företagsobligationer ett alternativ</t>
  </si>
  <si>
    <t>https://firmalan.com/sv/lana-pengar/jamfor-lan/</t>
  </si>
  <si>
    <t>Företag med kreditvärdighet A/B, förutsätter företagslån.</t>
  </si>
  <si>
    <t>https://www.nordpoolgroup.com/Market-data1/Dayahead/Area-Prices/SE/Hourly/?view=table</t>
  </si>
  <si>
    <t>Probably need to vary this in experiments</t>
  </si>
  <si>
    <t>Hoekstra 2020</t>
  </si>
  <si>
    <t>From Swedish source: https://www.miljofordon.se/bilar/miljoepaaverkan/ Most of biodiesel's emission is from use of fossil oil, which is expected to gradually be displaced by sustainable sources.</t>
  </si>
  <si>
    <t>ASEK 7.0</t>
  </si>
  <si>
    <t>https://www.trafikverket.se/contentassets/4b1c1005597d47bda386d81dd3444b24/asek-2021/12_klimateffekter_a70.pdf</t>
  </si>
  <si>
    <t>https://drivkraftsverige.se/statistik/priser/mer-prisstatistik/arsmedelspriser-motorbranslen/</t>
  </si>
  <si>
    <t>https://www.elaad.nl/uploads/files/Auke_Hoekstra_-_Electric_trucks_economically_and_environmentally_desirable_but_misunderstood.pdf</t>
  </si>
  <si>
    <t>Road tax</t>
  </si>
  <si>
    <t>kg CO₂ per kWh</t>
  </si>
  <si>
    <t>Diesel</t>
  </si>
  <si>
    <t>Electricity</t>
  </si>
  <si>
    <t>Emissions</t>
  </si>
  <si>
    <t>Price</t>
  </si>
  <si>
    <t>CO₂ tax</t>
  </si>
  <si>
    <t>Tax</t>
  </si>
  <si>
    <t>ratio of SCC</t>
  </si>
  <si>
    <t>SCC</t>
  </si>
  <si>
    <t>https://www.ekonomifakta.se/fakta/energi/styrmedel/konsumtionsskatter-pa-diesel/</t>
  </si>
  <si>
    <t>Conversion ratio</t>
  </si>
  <si>
    <t>Destination stop</t>
  </si>
  <si>
    <t>Rest stop</t>
  </si>
  <si>
    <t>Drive session</t>
  </si>
  <si>
    <t>Driver cost</t>
  </si>
  <si>
    <t>Battery</t>
  </si>
  <si>
    <t>Production emissions</t>
  </si>
  <si>
    <t>Statement by Northvolt that emissions will be 25% of a Chinese competitor, claimed at 160-180. Trucks in Sweden are mostly Volvo and Scania, which will use Northvolt. Remaining emissions are from raw materials production.</t>
  </si>
  <si>
    <t>base cost</t>
  </si>
  <si>
    <t>power cost</t>
  </si>
  <si>
    <t>euro per kW-km</t>
  </si>
  <si>
    <t>write off period</t>
  </si>
  <si>
    <t>maintenance cost</t>
  </si>
  <si>
    <t>pick-up cost</t>
  </si>
  <si>
    <t>euro per kW</t>
  </si>
  <si>
    <t>pick-up lifespan</t>
  </si>
  <si>
    <t>standardization risk</t>
  </si>
  <si>
    <t>cost of standard change</t>
  </si>
  <si>
    <t>Risk of having picked a different standard than neighboring countries</t>
  </si>
  <si>
    <t>Cost of retrofitting a new standard</t>
  </si>
  <si>
    <t>depot</t>
  </si>
  <si>
    <t>hardware cost</t>
  </si>
  <si>
    <t>profit margin</t>
  </si>
  <si>
    <t>hardware maintenance</t>
  </si>
  <si>
    <t>Guess, haulier rents infra</t>
  </si>
  <si>
    <t>Guess based on discussions with ChargeNode</t>
  </si>
  <si>
    <t>hour of day</t>
  </si>
  <si>
    <t>Mon</t>
  </si>
  <si>
    <t>Tue</t>
  </si>
  <si>
    <t>Wed</t>
  </si>
  <si>
    <t>Thu</t>
  </si>
  <si>
    <t>Fri</t>
  </si>
  <si>
    <t>Sat</t>
  </si>
  <si>
    <t>Sun</t>
  </si>
  <si>
    <t>Utilization</t>
  </si>
  <si>
    <t>Jan</t>
  </si>
  <si>
    <t>Feb</t>
  </si>
  <si>
    <t>Mar</t>
  </si>
  <si>
    <t>Apr</t>
  </si>
  <si>
    <t>Maj</t>
  </si>
  <si>
    <t>Jun</t>
  </si>
  <si>
    <t>Jul</t>
  </si>
  <si>
    <t>Aug</t>
  </si>
  <si>
    <t>Sep</t>
  </si>
  <si>
    <t>Okt</t>
  </si>
  <si>
    <t>Nov</t>
  </si>
  <si>
    <t>Dec</t>
  </si>
  <si>
    <t>destination</t>
  </si>
  <si>
    <t>Annual utilization</t>
  </si>
  <si>
    <t>electricity price</t>
  </si>
  <si>
    <t>Average of SE1</t>
  </si>
  <si>
    <t>Average of SE2</t>
  </si>
  <si>
    <t>Average of SE3</t>
  </si>
  <si>
    <t>Average of SE4</t>
  </si>
  <si>
    <t>Norm SE1</t>
  </si>
  <si>
    <t>Norm SE2</t>
  </si>
  <si>
    <t>Norm SE3</t>
  </si>
  <si>
    <t>Norm SE4</t>
  </si>
  <si>
    <t>Min</t>
  </si>
  <si>
    <t>Max</t>
  </si>
  <si>
    <t>Avg</t>
  </si>
  <si>
    <t>Average Nordpool spot 2021, €/MWh</t>
  </si>
  <si>
    <t>Approximation of calculation below, corresponding to an increasing mix-in of biofuels</t>
  </si>
  <si>
    <t>station</t>
  </si>
  <si>
    <t>utilization</t>
  </si>
  <si>
    <t>ERS</t>
  </si>
  <si>
    <t>Depot</t>
  </si>
  <si>
    <t>Destination</t>
  </si>
  <si>
    <t>Infrastructure</t>
  </si>
  <si>
    <t>%</t>
  </si>
  <si>
    <t>Lokaldistribution</t>
  </si>
  <si>
    <t>Anläggning</t>
  </si>
  <si>
    <t>Fjärrlastbil</t>
  </si>
  <si>
    <t>Dragbil med släp, totalvikt 25-60 ton. Bil med 3 axlar och släp med 4 axlar.</t>
  </si>
  <si>
    <t>Tung 2-axlad lastbil utan släp, totalvikt 3,5- 16 ton. Bil med 2 axlar.</t>
  </si>
  <si>
    <t>Tung lastbil utan släp, totalvikt 16-24 ton. Bil med 3 axlar.</t>
  </si>
  <si>
    <t>Dragbil med släp, totalvikt 25-40 ton. Bil med 3 axlar och släp med 4 axlar.</t>
  </si>
  <si>
    <t>Tyres</t>
  </si>
  <si>
    <t>Fuel consumption</t>
  </si>
  <si>
    <t>kWh/MJ</t>
  </si>
  <si>
    <t>MJ/liter</t>
  </si>
  <si>
    <t>ICEV efficiency</t>
  </si>
  <si>
    <t>BEV efficiency</t>
  </si>
  <si>
    <t>kWh/liter</t>
  </si>
  <si>
    <t>City multiplier</t>
  </si>
  <si>
    <t>EUR/SEK</t>
  </si>
  <si>
    <t>BEV regen, ICEV inefficiency</t>
  </si>
  <si>
    <t>ASEK 7, Kapitel 14 Operativa trafikeringskostnader för godstransporter</t>
  </si>
  <si>
    <t>Cost of replaced ICE powertrain</t>
  </si>
  <si>
    <t>SEK/truck</t>
  </si>
  <si>
    <t>SEK/kW</t>
  </si>
  <si>
    <t>Cost of new EV powertrain</t>
  </si>
  <si>
    <t>Vehicle OEM markup</t>
  </si>
  <si>
    <t>ICE weight to power ratio</t>
  </si>
  <si>
    <t>kg/kW</t>
  </si>
  <si>
    <t>BEV weight to power ratio</t>
  </si>
  <si>
    <t>Source/reasoning</t>
  </si>
  <si>
    <t xml:space="preserve"> </t>
  </si>
  <si>
    <t>40% av ICEV</t>
  </si>
  <si>
    <t>Definition</t>
  </si>
  <si>
    <t>Cost diff, excl. battery (SEK)</t>
  </si>
  <si>
    <t>Cost diff, excl. battery (EUR)</t>
  </si>
  <si>
    <t>euro per cycled kWh</t>
  </si>
  <si>
    <t>calendar days per year</t>
  </si>
  <si>
    <t>h per day</t>
  </si>
  <si>
    <t>https://naturvardsverket.diva-portal.org/smash/get/diva2:1540012/FULLTEXT01.pdf</t>
  </si>
  <si>
    <t>Nordisk elmix, approaching current Swedish level of 0.005</t>
  </si>
  <si>
    <t>kg CO₂ per cycled kWh</t>
  </si>
  <si>
    <t>Weight diff, excl. battery (kg)</t>
  </si>
  <si>
    <t>ICEV powertrain cost change (eur)</t>
  </si>
  <si>
    <t>BEV vs ICEV cost diff, excl battery</t>
  </si>
  <si>
    <t>BEV vs ICEV weight diff, excl battery</t>
  </si>
  <si>
    <t>ICEV powertrain cost diff vs 2020</t>
  </si>
  <si>
    <t>Energiskatt på 2.51 kr/liter idag. Gissning om framtiden</t>
  </si>
  <si>
    <t>Koldioxidskatt på 2.29 kr/liter idag. Gissning om framtiden.</t>
  </si>
  <si>
    <t>Nordpool spotpriser medel per timme 2021</t>
  </si>
  <si>
    <t>pick up cost base heavy</t>
  </si>
  <si>
    <t>pick up cost base light</t>
  </si>
  <si>
    <t>WorldInternal</t>
  </si>
  <si>
    <t>InfrastructureInternal</t>
  </si>
  <si>
    <t>SE34</t>
  </si>
  <si>
    <t>SE12</t>
  </si>
  <si>
    <t>Svensk elproduktion</t>
  </si>
  <si>
    <t>Price min</t>
  </si>
  <si>
    <t>Price max</t>
  </si>
  <si>
    <t>CO₂ emissions</t>
  </si>
  <si>
    <t>Depot stop</t>
  </si>
  <si>
    <t>BatteryInternal</t>
  </si>
  <si>
    <t>Gross</t>
  </si>
  <si>
    <t>Net</t>
  </si>
  <si>
    <t>X% of net battery capacity</t>
  </si>
  <si>
    <t>ratio of gross</t>
  </si>
  <si>
    <t>ratio of net</t>
  </si>
  <si>
    <t>Min peak power</t>
  </si>
  <si>
    <t>Reference charging rate</t>
  </si>
  <si>
    <t>Reference discharging rate</t>
  </si>
  <si>
    <t>Max permitted charging rate</t>
  </si>
  <si>
    <t>Max permitted discharging rate</t>
  </si>
  <si>
    <t>pick up weight heavy</t>
  </si>
  <si>
    <t>pick up weight light</t>
  </si>
  <si>
    <t>Grid</t>
  </si>
  <si>
    <t>initial acccess base</t>
  </si>
  <si>
    <t>initial acccess</t>
  </si>
  <si>
    <t>grid connection interval</t>
  </si>
  <si>
    <t>Vehicles per day</t>
  </si>
  <si>
    <t>Energy per day</t>
  </si>
  <si>
    <t>Peak power</t>
  </si>
  <si>
    <t>Annual opex</t>
  </si>
  <si>
    <t>Annual capex</t>
  </si>
  <si>
    <t>Cost per kWh</t>
  </si>
  <si>
    <t>kWh per visit</t>
  </si>
  <si>
    <t>kWh/km-day</t>
  </si>
  <si>
    <t>Speed km/h</t>
  </si>
  <si>
    <t>Peak v/km</t>
  </si>
  <si>
    <t>kWh/km-y</t>
  </si>
  <si>
    <t>Pickup €/kWh</t>
  </si>
  <si>
    <t>ERS energy ratio</t>
  </si>
  <si>
    <t>reference</t>
  </si>
  <si>
    <t>vehicles per day</t>
  </si>
  <si>
    <t>aadt</t>
  </si>
  <si>
    <t>gain_ratio = charged_per_km / spent_per_km = (transferred_per_km * ers_ratio - spent_per_km) / spent_per_km</t>
  </si>
  <si>
    <t>ers_ratio = (gain_ratio * spent_per_km + spent_per_km) / transferred_per_km</t>
  </si>
  <si>
    <t>gain_ratio</t>
  </si>
  <si>
    <t>spent_per_km</t>
  </si>
  <si>
    <t>transferred_per_km</t>
  </si>
  <si>
    <t>ers_ratio</t>
  </si>
  <si>
    <t>grid connection cable</t>
  </si>
  <si>
    <t>50 euro/m, 100 m</t>
  </si>
  <si>
    <t>20 euro/m, 750 m</t>
  </si>
  <si>
    <t>OtherRegion</t>
  </si>
  <si>
    <t>Charging</t>
  </si>
  <si>
    <t>Extra stop overhead</t>
  </si>
  <si>
    <t>Getting to the charger, plugging in, paying, battery conditioning, will get smoother</t>
  </si>
  <si>
    <t>Chassis cost, 2020</t>
  </si>
  <si>
    <t>HW/ers-km</t>
  </si>
  <si>
    <t>Grid/ers-km</t>
  </si>
  <si>
    <t>Capex/ers-km-y</t>
  </si>
  <si>
    <t>Opex/ers-km-y</t>
  </si>
  <si>
    <t>kW per vehicle</t>
  </si>
  <si>
    <t>Konstant mängd energi att leverera</t>
  </si>
  <si>
    <t>Variera mängd väg</t>
  </si>
  <si>
    <t>Prop. kWh/km-y</t>
  </si>
  <si>
    <t>Pot. kWh/km-y</t>
  </si>
  <si>
    <t>x</t>
  </si>
  <si>
    <t>y</t>
  </si>
  <si>
    <t>Peak vehicles</t>
  </si>
  <si>
    <t>gain = (x * kW_ers - kW_prop) / kW_prop</t>
  </si>
  <si>
    <t>x = (gain * kW_prop + kW_prop) / kW_ers</t>
  </si>
  <si>
    <t>Min net battery capacity</t>
  </si>
  <si>
    <t>ÅDT tung</t>
  </si>
  <si>
    <t>E4</t>
  </si>
  <si>
    <t>E6</t>
  </si>
  <si>
    <t>Karlstad-Örebro</t>
  </si>
  <si>
    <t>Correct (100%)</t>
  </si>
  <si>
    <t>Correct (2%)</t>
  </si>
  <si>
    <t>From sim (2%)</t>
  </si>
  <si>
    <t>Ska vara (max)</t>
  </si>
  <si>
    <t>Är (summa)</t>
  </si>
  <si>
    <t>Rätt</t>
  </si>
  <si>
    <t>HGV60Internal : VehicleType</t>
  </si>
  <si>
    <t>HGV40Internal : VehicleType</t>
  </si>
  <si>
    <t>MGV24Internal : VehicleType</t>
  </si>
  <si>
    <t>MGV16Internal : VehicleType</t>
  </si>
  <si>
    <t>MGV16 har många långa och ovanliga rutter i datasetet. Dessa får stora batterier och lägre lastvikt.</t>
  </si>
  <si>
    <t>Några långa rutter blir inte elektrifierade.</t>
  </si>
  <si>
    <t>Same as station</t>
  </si>
  <si>
    <t>c-rate</t>
  </si>
  <si>
    <t>Pack size</t>
  </si>
  <si>
    <t>kWh/km</t>
  </si>
  <si>
    <t>cycles per year</t>
  </si>
  <si>
    <t>calendar ageing per cycle</t>
  </si>
  <si>
    <t>Energy per day of operation</t>
  </si>
  <si>
    <t>Power @ 85 km/h</t>
  </si>
  <si>
    <t>EU regulation</t>
  </si>
  <si>
    <t>1.5 * ref</t>
  </si>
  <si>
    <t>Vehicles</t>
  </si>
  <si>
    <t>Powertrains</t>
  </si>
  <si>
    <t>vehicle class</t>
  </si>
  <si>
    <t>Kilometers</t>
  </si>
  <si>
    <t>Type</t>
  </si>
  <si>
    <t>Hours</t>
  </si>
  <si>
    <t>KiloWatts</t>
  </si>
  <si>
    <t>EuroPerCubicMeter</t>
  </si>
  <si>
    <t>Kilogram</t>
  </si>
  <si>
    <t>EuroPerHour</t>
  </si>
  <si>
    <t>Euro</t>
  </si>
  <si>
    <t>Years</t>
  </si>
  <si>
    <t>EuroPerKilometer</t>
  </si>
  <si>
    <t>LiterPerKilometer</t>
  </si>
  <si>
    <t>EuroPerTonKilometer</t>
  </si>
  <si>
    <t>Dimensionless</t>
  </si>
  <si>
    <t>KiloWattHoursPerKilometer</t>
  </si>
  <si>
    <t>KiloWattHours</t>
  </si>
  <si>
    <t>KilometersPerYear</t>
  </si>
  <si>
    <t>EuroPerKilogram</t>
  </si>
  <si>
    <t>EuroPerLiter</t>
  </si>
  <si>
    <t>KilogramPerLiter</t>
  </si>
  <si>
    <t>KiloWattHoursPerLiter</t>
  </si>
  <si>
    <t>KilogramPerKiloWattHour</t>
  </si>
  <si>
    <t>EuroPerKiloWattKilometer</t>
  </si>
  <si>
    <t>EuroPerKiloWatt</t>
  </si>
  <si>
    <t>EuroPerKiloWattHour</t>
  </si>
  <si>
    <t>CRate</t>
  </si>
  <si>
    <t>KiloWattHoursPerKilogram</t>
  </si>
  <si>
    <t>OtherUnit</t>
  </si>
  <si>
    <t>Lifetime 2020</t>
  </si>
  <si>
    <t>Lifetime 2035</t>
  </si>
  <si>
    <t>Private sector interest public charging</t>
  </si>
  <si>
    <t>Private sector interest depot and trucks</t>
  </si>
  <si>
    <t>BEV powertrain cost (EUR)</t>
  </si>
  <si>
    <t>Min useable range</t>
  </si>
  <si>
    <t>ICE volume to power ratio</t>
  </si>
  <si>
    <t>BEV volume to power ratio</t>
  </si>
  <si>
    <t>m3/kW</t>
  </si>
  <si>
    <t>Driveline volume diff (m3)</t>
  </si>
  <si>
    <t>Min usable range</t>
  </si>
  <si>
    <t>€c/km TCO, 2050</t>
  </si>
  <si>
    <t>TCO/km. 2050 rel. to 2020</t>
  </si>
  <si>
    <t>sum</t>
  </si>
  <si>
    <t>€/km</t>
  </si>
  <si>
    <t>Net battery capacity</t>
  </si>
  <si>
    <t>Extra charging stop duration</t>
  </si>
  <si>
    <t>hours away from depot</t>
  </si>
  <si>
    <t>Driving per day</t>
  </si>
  <si>
    <t>breaks, loading, unloading</t>
  </si>
  <si>
    <t>daily distance based on assumptions per day</t>
  </si>
  <si>
    <t>daily distance based on assumptions per year</t>
  </si>
  <si>
    <t>min charging stops per day</t>
  </si>
  <si>
    <t>Vi har ingen statistik för hur många timmar bilar nyttjas per dygn. Från dessa figurer verkar det som att en lastbil i enkelskift går ca 100k km per år/230 dagar per år = 435 km per arbetsdag. En arbetsdag får inte vara längre än 9 timmar, varav ca 6 h borde kunna vara körtid. Det ger en medelhastighet på 72 km/h, vilket är ganska rimligt. Då verkar det som att snittanvändningen per dag inte är mycket mer än enkelskift.</t>
  </si>
  <si>
    <t>Electricity price €/kWh</t>
  </si>
  <si>
    <t>Annual change in cost per kWh capacity</t>
  </si>
  <si>
    <t>€/kWh (excl. nrg)</t>
  </si>
  <si>
    <t>Bidirectional AADT</t>
  </si>
  <si>
    <t>BIDIRECTIONAL ERS</t>
  </si>
  <si>
    <t>Peak kW/km</t>
  </si>
  <si>
    <t>Cycles per year, net</t>
  </si>
  <si>
    <t>long_name</t>
  </si>
  <si>
    <t>Average</t>
  </si>
  <si>
    <t>Hour of day</t>
  </si>
  <si>
    <t>Day of week</t>
  </si>
  <si>
    <t>Month</t>
  </si>
  <si>
    <t>Electricity price</t>
  </si>
  <si>
    <t>ratio min to max</t>
  </si>
  <si>
    <t>Grid fee</t>
  </si>
  <si>
    <t>Fees</t>
  </si>
  <si>
    <t>Battery capacity</t>
  </si>
  <si>
    <t>Lost time</t>
  </si>
  <si>
    <t>Capital interest</t>
  </si>
  <si>
    <t>Battery ageing</t>
  </si>
  <si>
    <t>Lost cargo capacity</t>
  </si>
  <si>
    <t>CO₂ (SCC)</t>
  </si>
  <si>
    <t>% of energy</t>
  </si>
  <si>
    <t>€ per spent  kWh</t>
  </si>
  <si>
    <t>cycle eq. of energy use</t>
  </si>
  <si>
    <t>Ratio of energy directly to propulsion</t>
  </si>
  <si>
    <t>COPY THIS</t>
  </si>
  <si>
    <t>Country</t>
  </si>
  <si>
    <t>LPG</t>
  </si>
  <si>
    <t>  Albania</t>
  </si>
  <si>
    <t>  Andorra</t>
  </si>
  <si>
    <t>  Austria</t>
  </si>
  <si>
    <t>  Belarus</t>
  </si>
  <si>
    <t>  Belgium</t>
  </si>
  <si>
    <t>  Bosnia and Herzegovina</t>
  </si>
  <si>
    <t>  Bulgaria</t>
  </si>
  <si>
    <t>  Croatia</t>
  </si>
  <si>
    <t>  Cyprus</t>
  </si>
  <si>
    <t>  Czechia</t>
  </si>
  <si>
    <t>  Denmark</t>
  </si>
  <si>
    <t>  Estonia</t>
  </si>
  <si>
    <t>  Finland</t>
  </si>
  <si>
    <t>  France</t>
  </si>
  <si>
    <t>  Germany</t>
  </si>
  <si>
    <t>  Greece</t>
  </si>
  <si>
    <t>  Hungary</t>
  </si>
  <si>
    <t>  Iceland</t>
  </si>
  <si>
    <t>  Ireland</t>
  </si>
  <si>
    <t>  Italy</t>
  </si>
  <si>
    <t>  Latvia</t>
  </si>
  <si>
    <t>  Lithuania</t>
  </si>
  <si>
    <t>  Luxembourg</t>
  </si>
  <si>
    <t>  Malta</t>
  </si>
  <si>
    <t>  Moldova</t>
  </si>
  <si>
    <t>  Netherlands</t>
  </si>
  <si>
    <t>  Norway</t>
  </si>
  <si>
    <t>  Poland</t>
  </si>
  <si>
    <t>  Portugal</t>
  </si>
  <si>
    <t>  Romania</t>
  </si>
  <si>
    <t>  Russia</t>
  </si>
  <si>
    <t>  San Marino</t>
  </si>
  <si>
    <t>  Serbia</t>
  </si>
  <si>
    <t>  Slovakia</t>
  </si>
  <si>
    <t>  Slovenia</t>
  </si>
  <si>
    <t>  Spain</t>
  </si>
  <si>
    <t>  Sweden</t>
  </si>
  <si>
    <t>  Switzerland</t>
  </si>
  <si>
    <t>  Turkey</t>
  </si>
  <si>
    <t>  Ukraine</t>
  </si>
  <si>
    <t>  United Kingdom</t>
  </si>
  <si>
    <t>Gasoline (Euro 95)</t>
  </si>
  <si>
    <t>SE1</t>
  </si>
  <si>
    <t>SE2</t>
  </si>
  <si>
    <t>SE3</t>
  </si>
  <si>
    <t>SE4</t>
  </si>
  <si>
    <t>Electricity spot prices, monthly averages</t>
  </si>
  <si>
    <t>EUR/MWh</t>
  </si>
  <si>
    <t>https://www.cargopedia.net/europe-fuel-prices</t>
  </si>
  <si>
    <t>Nord pool, day-ahead</t>
  </si>
  <si>
    <t>FR</t>
  </si>
  <si>
    <t>BE</t>
  </si>
  <si>
    <t>DE-LU</t>
  </si>
  <si>
    <t>NL</t>
  </si>
  <si>
    <t>00 - 01</t>
  </si>
  <si>
    <t>01 - 02</t>
  </si>
  <si>
    <t>02 - 03</t>
  </si>
  <si>
    <t>03 - 04</t>
  </si>
  <si>
    <t>04 - 05</t>
  </si>
  <si>
    <t>05 - 06</t>
  </si>
  <si>
    <t>06 - 07</t>
  </si>
  <si>
    <t>07 - 08</t>
  </si>
  <si>
    <t>08 - 09</t>
  </si>
  <si>
    <t>09 - 10</t>
  </si>
  <si>
    <t>10 - 11</t>
  </si>
  <si>
    <t>11 - 12</t>
  </si>
  <si>
    <t>12 - 13</t>
  </si>
  <si>
    <t>13 - 14</t>
  </si>
  <si>
    <t>14 - 15</t>
  </si>
  <si>
    <t>15 - 16</t>
  </si>
  <si>
    <t>16 - 17</t>
  </si>
  <si>
    <t>17 - 18</t>
  </si>
  <si>
    <t>18 - 19</t>
  </si>
  <si>
    <t>19 - 20</t>
  </si>
  <si>
    <t>20 - 21</t>
  </si>
  <si>
    <t>21 - 22</t>
  </si>
  <si>
    <t>22 - 23</t>
  </si>
  <si>
    <t>23 - 00</t>
  </si>
  <si>
    <t>Hourly</t>
  </si>
  <si>
    <t>Backup of values used in RISE REPORT</t>
  </si>
  <si>
    <t>Cannot derive cost of biofuels in Sweden. E-fuel Alliance forecasts 1.61-1.99/l @ 2025 --&gt; 0.70-1.33 @ 2050 https://www.efuel-alliance.eu/efuels/costs-outlook</t>
  </si>
  <si>
    <t>Swedish energy tax has ranged between 1.5 and 2.5 SEK/liter. German energy tax is approx €0.5/liter.</t>
  </si>
  <si>
    <t>prices including VAT</t>
  </si>
  <si>
    <t>Approximate product cost in Sweden in april 2023, estimated from product costs of FAME and HVO and blend ratios. Cannot forecast. Run sensitivity analysis.</t>
  </si>
  <si>
    <t>Pollution tax</t>
  </si>
  <si>
    <t>Usable range</t>
  </si>
  <si>
    <t>Usable battery kWh</t>
  </si>
  <si>
    <t>TRV says 25. Kristoffer Ahlén, Price and Product Manager at Preem, says 10.</t>
  </si>
  <si>
    <t>Private sector interest public charging and trucks</t>
  </si>
  <si>
    <t>Private sector interest depot charging</t>
  </si>
  <si>
    <t>Heavy traffic volume vs 2020</t>
  </si>
  <si>
    <t>https://trafikverket.diva-portal.org/smash/get/diva2:1749263/FULLTEXT01.pdf</t>
  </si>
  <si>
    <t>TRVs basprognos för gods på väg 2017-2040, Fig 6.4</t>
  </si>
  <si>
    <t>Replaced by equation in simulation. Calculated based on price of new batteries in year of decommissioning.</t>
  </si>
  <si>
    <t>Year</t>
  </si>
  <si>
    <t>Calendar lifespan</t>
  </si>
  <si>
    <t>State of health</t>
  </si>
  <si>
    <t>End of life</t>
  </si>
  <si>
    <t>SoC range, of SoH</t>
  </si>
  <si>
    <t>Usable capacity</t>
  </si>
  <si>
    <t>Upper SoC</t>
  </si>
  <si>
    <t>Lower SoC</t>
  </si>
  <si>
    <t>Mid SoC</t>
  </si>
  <si>
    <t>Margin</t>
  </si>
  <si>
    <t>See sheet "battery SoH example" for reasoning</t>
  </si>
  <si>
    <t>Inspired by Battery University</t>
  </si>
  <si>
    <t>Assumption: As the battery ages (blue), a tradeoff is made to preserve usable range (dashed) at the cost of more rapid ageing</t>
  </si>
  <si>
    <t>Complement to utilization</t>
  </si>
  <si>
    <t>Max time in transit</t>
  </si>
  <si>
    <t>Max time in use</t>
  </si>
  <si>
    <t>Including breaks, loading and unloading.</t>
  </si>
  <si>
    <t>Average speed</t>
  </si>
  <si>
    <t>km/h</t>
  </si>
  <si>
    <t xml:space="preserve"> +6% på basränta. Företag med hög kreditvärdighet, AAA/AA. Förutsätter att ränta rör företagslån. För stora företag är företagsobligationer ett alternativ</t>
  </si>
  <si>
    <t xml:space="preserve"> +10% på basränta. Företag med kreditvärdighet A/B, förutsätter företagslån. Depåladdare är sämre säkerhet än lastbilar.</t>
  </si>
  <si>
    <t>Excluding breaks, loading and unloading. Fresh produce sometimes operates with two drivers.</t>
  </si>
  <si>
    <t>It's complicated. Reduktionsplikten for 2020 is 30% CO2e reduction for diesel, which requires &gt;30% biofuels. Actual sales seem to amount to 29% renewables for diesel + HVO100 + FAME100. Forecast based on a mix of Swedish reduktionsplikt and e-Fuel Alliance forecast. Increasing share is by reduced ICEV market share.</t>
  </si>
  <si>
    <t>https://www.energimyndigheten.se/globalassets/nyheter/2020/er-2020_26-drivmedel-2019.pdf</t>
  </si>
  <si>
    <t>Equivalent reduktionsplikt</t>
  </si>
  <si>
    <t>Equivalent diesel emissions</t>
  </si>
  <si>
    <t>Mean daily distance</t>
  </si>
  <si>
    <t xml:space="preserve">ASEK 7.0 says 7 SEK/kg. US EPA has proposed $190/ton https://www.epa.gov/system/files/documents/2022-11/epa_scghg_report_draft_0.pdf, $185/ton https://www.nature.com/articles/s41586-022-05224-9, </t>
  </si>
  <si>
    <t>Backup of variables</t>
  </si>
  <si>
    <t>Electricity vs diesel cost</t>
  </si>
  <si>
    <t>EU: https://www.eea.europa.eu/data-and-maps/daviz/co2-emission-intensity-13/#tab-googlechartid_chart_11</t>
  </si>
  <si>
    <t>Germany</t>
  </si>
  <si>
    <t>Avg of DE-LU</t>
  </si>
  <si>
    <t>Nordpool spot prices, max average price per hour, 2021</t>
  </si>
  <si>
    <t>Nordpool spot prices, min average price per hour, 2021</t>
  </si>
  <si>
    <t>Nordpool spot prices (DE-LU), min average price per hour, 2021</t>
  </si>
  <si>
    <t>Nordpool spot prices (DE-LU), max average price per hour, 2021</t>
  </si>
  <si>
    <t>High ratio is enabled by lower diesel consumption due to electrification</t>
  </si>
  <si>
    <t>Effective diesel price, incl tax</t>
  </si>
  <si>
    <t>Effective diesel tax ratio</t>
  </si>
  <si>
    <t>ICEs release NOx, particles and noise. I assume these will be penalized.</t>
  </si>
  <si>
    <t>FossilDiesel</t>
  </si>
  <si>
    <t>RenewableDiesel</t>
  </si>
  <si>
    <t>Blend guess</t>
  </si>
  <si>
    <t>liter per year</t>
  </si>
  <si>
    <t>https://www.energimyndigheten.se/globalassets/statistik/drivmedel-2018.pdf</t>
  </si>
  <si>
    <t>Supply cap</t>
  </si>
  <si>
    <t>Sweden already uses a large percentage of the world supply</t>
  </si>
  <si>
    <t>LiterPerYear</t>
  </si>
  <si>
    <t>Exhaust system</t>
  </si>
  <si>
    <t>Transmission</t>
  </si>
  <si>
    <t>Starter and alternator</t>
  </si>
  <si>
    <t>Power electronics</t>
  </si>
  <si>
    <t>Total</t>
  </si>
  <si>
    <t>intercept</t>
  </si>
  <si>
    <t>Diesel engine</t>
  </si>
  <si>
    <t>Fuel tank (full)</t>
  </si>
  <si>
    <t>Radiator</t>
  </si>
  <si>
    <t>Electric motor</t>
  </si>
  <si>
    <t>EVSE / charging port</t>
  </si>
  <si>
    <t>Battery cooling system</t>
  </si>
  <si>
    <t>Electric power steering system</t>
  </si>
  <si>
    <t>Regenerative braking system</t>
  </si>
  <si>
    <t>20 ton</t>
  </si>
  <si>
    <t>40 ton</t>
  </si>
  <si>
    <t>Power (kW)</t>
  </si>
  <si>
    <t>diff</t>
  </si>
  <si>
    <t>ICEV components</t>
  </si>
  <si>
    <t>BEV components</t>
  </si>
  <si>
    <t>Battery pack kg/kWh</t>
  </si>
  <si>
    <t>Driveline components</t>
  </si>
  <si>
    <t>These numbers are close enough to the cited source that I decide to use that one, even though these are probably more accurate.</t>
  </si>
  <si>
    <t>Total from ChatGPT</t>
  </si>
  <si>
    <t>Total from TRV</t>
  </si>
  <si>
    <t>Diff TRV - ChatGPT</t>
  </si>
  <si>
    <t>Diff BEV - Diesel</t>
  </si>
  <si>
    <t>Verification of cited source, which I have some doubts about, using estimates by ChatGPT</t>
  </si>
  <si>
    <t>Note: 0% means 80% state of health</t>
  </si>
  <si>
    <t>Swedish diesel CO₂ tax is 2.5 SEK/liter as of june 2023, plus VAT which we exclude</t>
  </si>
  <si>
    <t>In 2018: All diesel for trucks and cars = 56.3 TWh/y, 23% renewable, diesel 10 kWh/liter = 1.259e9 liter/year. I ended up ignoring that number and set this based on total fuel in the sim instead. Biofuels seem to contribute around 7% of total transport energy in 2022 (https://www.epure.org/wp-content/uploads/2022/10/221011-DEF-REP-Overview-of-biofuels-policies-and-markets-across-the-EU-October-2022.pdf)</t>
  </si>
  <si>
    <t>Values from OtherRegion</t>
  </si>
  <si>
    <t>Batteries (Gross)</t>
  </si>
  <si>
    <t>Rest Stop</t>
  </si>
  <si>
    <t>Infrastructure utilization</t>
  </si>
  <si>
    <t>Grid connections</t>
  </si>
  <si>
    <t>Standardization risk</t>
  </si>
  <si>
    <t>ERS (base)</t>
  </si>
  <si>
    <t>ERS (power)</t>
  </si>
  <si>
    <t>Maintenance</t>
  </si>
  <si>
    <t>See comment.</t>
  </si>
  <si>
    <t>Battery parameters and their future development were first estimated based on information from Battery University (https://batteryuniversity.com) and Wikipedia's article on Lithium-ion batteries. As parameters are in practice a chemical trade-off, the joint set of parameters was adjusted based on review by an anonymous truck manufacturer engineer and several experts in a public LinkedIn discussion (https://www.linkedin.com/posts/jakobrogstadius_please-find-problems-in-my-math-these-are-activity-6777180676291653632-jaJB/).</t>
  </si>
  <si>
    <t>Truck OEM engineer (anonymous)</t>
  </si>
  <si>
    <t>AADT</t>
  </si>
  <si>
    <t>Peak trucks/h</t>
  </si>
  <si>
    <t>Peak trucks/km</t>
  </si>
  <si>
    <t>Mean kW/truck-km</t>
  </si>
  <si>
    <t>Coverage</t>
  </si>
  <si>
    <t>kW/km</t>
  </si>
  <si>
    <t>See comment</t>
  </si>
  <si>
    <t>Bidirectional AADT Heavy in Sweden is ~4k on the largest roads. Assume half use ERS.</t>
  </si>
  <si>
    <t>20 euro/m, 500 m (All digging costs from: https://www.diva-portal.org/smash/get/diva2:207284/FULLTEXT01.pdf)</t>
  </si>
  <si>
    <t>Seed value. Bidirectional AADT Heavy in Sweden is ~4k on the largest roads. If vehicles must stop every 5th opportunity and half use stations.</t>
  </si>
  <si>
    <t>Seed value. Guess.</t>
  </si>
  <si>
    <t>Figure from Ellevio (Swedish DSO) used in past project</t>
  </si>
  <si>
    <t>As above</t>
  </si>
  <si>
    <t>As rest stop</t>
  </si>
  <si>
    <t>As depot</t>
  </si>
  <si>
    <t>https://www.pwc.se/sv/pdf-reports/corporate-finance/riskpremiestudien-2021.pdf, https://www.riksgalden.se/sv/var-verksamhet/statslanerantan/</t>
  </si>
  <si>
    <t>Trafikverket's base forecast for road cargo 2017-2040, Fig 6.4 (https://trafikverket.diva-portal.org/smash/get/diva2:1749263/FULLTEXT01.pdf)</t>
  </si>
  <si>
    <t>10% above base interest. Depot chargers should offer poor security. (https://firmalan.com/sv/lana-pengar/jamfor-lan/)</t>
  </si>
  <si>
    <t>6% above base interest, companies with credit rating AAA/AA (https://firmalan.com/sv/lana-pengar/jamfor-lan/)</t>
  </si>
  <si>
    <t>Guess. Getting to the charger, plugging in, paying, battery conditioning, will get smoother.</t>
  </si>
  <si>
    <t>To match current CO₂ tax.</t>
  </si>
  <si>
    <t>CO₂ tax on diesel in Sweden in 2022.</t>
  </si>
  <si>
    <t>Approximate product cost in Sweden in april 2023, estimated from product costs of FAME and HVO and blend ratios. Highly unreliable forecast.</t>
  </si>
  <si>
    <t>"Blend guess" ratio of total fuel used in 2020 according to the simulation.</t>
  </si>
  <si>
    <t>alliance.eu/efuels/costs-outlook), which is likely a biased source.</t>
  </si>
  <si>
    <t>Auke Hoekstra (2020) "Electric trucks: economically and environmentally desirable but misunderstood"</t>
  </si>
  <si>
    <t>2020 value from https://www.miljofordon.se/bilar/miljoepaaverkan/ Most of biodiesel's emission is from use of fossil oil, which is expected to gradually be displaced by sustainable sources.</t>
  </si>
  <si>
    <t>Greenhouse gas emission intensity of electricity generation in Europe (https://www.eea.europa.eu/ims/greenhouse-gas-emission-intensity-of-1)</t>
  </si>
  <si>
    <t>All values from Trafikverket's 2021 report "Behov av laddinfrastruktur för snabbladdning av tunga fordon längs större vägar", with adjustments by Nils-Gunnar Vågstedt, Scania (spring 2021)</t>
  </si>
  <si>
    <t>SEK/Euro</t>
  </si>
  <si>
    <t>Informed guess</t>
  </si>
  <si>
    <t>Values for Swedish-registered trucks, from Trafikverket, "Behov av laddinfrastruktur för snabbladdning av tunga fordon längs större vägar", fig. 13</t>
  </si>
  <si>
    <t>ASEK 7</t>
  </si>
  <si>
    <t>Nils-Gunnar Vågstedt, Scania, private communication</t>
  </si>
  <si>
    <t>Roger Blom, CEO at Ernsts Express, private communication</t>
  </si>
  <si>
    <t>280 kg/m3, lost the source</t>
  </si>
  <si>
    <t>Nils-Gunnar Vågstedt, Scania, and Anders Berger, Volvo Trucks, private communication</t>
  </si>
  <si>
    <t>Same as ICEV</t>
  </si>
  <si>
    <t>This paper says 2.8 (fig 5.1, (1060*20/(1060-850))/(36 MJ/liter)): https://theicct.org/wp-content/uploads/2021/06/LNG-in-trucks_May2020.pdf</t>
  </si>
  <si>
    <t>As above. Adjusted from 100 to 300 based on feedback from Andreas Kammel.</t>
  </si>
  <si>
    <t>300 from Andreas Kammel. 500 (probably includes grid) from a mix of Trafikverket, Karlström 2020 ("Kunskapssammanställning stationär laddning till tunga lastbilar"), Scania offer, Future Energy (FE). FE clearly states that hardware cost per kW increases with higher power.</t>
  </si>
  <si>
    <t>Increased from 1.2m to 1.5m after Hallsberg. ERS cost parameters are aggregates of numbers from Siemens, Elonroad and Electreon, provided in private communication. Representatives did not wish to be individually quoted. Numbers are inherrently speculative and based on cost levels reached during scale-up of technology so far built at pilot scale.</t>
  </si>
  <si>
    <t>Increased from 150 to 700 after Hallsberg.</t>
  </si>
  <si>
    <t>Was 5%</t>
  </si>
  <si>
    <t>ASEK 7, Kapitel 14 Operativa trafikeringskostnader för godstransporter (50% body, enligt NG)</t>
  </si>
  <si>
    <t>ICEV consumption, diesel energy density and propulsion efficiency difference. With regen, propulsion is a smaller share of total energy.</t>
  </si>
  <si>
    <t>Powertrain efficiency</t>
  </si>
  <si>
    <t>ICET</t>
  </si>
  <si>
    <t>BET</t>
  </si>
  <si>
    <t>kWh-&gt;liter</t>
  </si>
  <si>
    <t>kWh powertrain</t>
  </si>
  <si>
    <t>Current</t>
  </si>
  <si>
    <t>%/y, total</t>
  </si>
  <si>
    <t>kWh/y, total</t>
  </si>
  <si>
    <t>kWh/y, powertrain</t>
  </si>
  <si>
    <t>kWh useful work</t>
  </si>
  <si>
    <t>kWh/y, useful work</t>
  </si>
  <si>
    <t>%/y, powertrain</t>
  </si>
  <si>
    <t>%/y, useful work</t>
  </si>
  <si>
    <t>Future</t>
  </si>
  <si>
    <t>Historic</t>
  </si>
  <si>
    <t>Estimation of future annual reduction in energy consumption, HGV40 example</t>
  </si>
  <si>
    <t>Very similar to means of near-market until 2030, then scientific until 2040, then extrapolation, from https://www.nature.com/articles/s41560-024-01531-9/figures/1</t>
  </si>
  <si>
    <t>fee at 10 percent utilization</t>
  </si>
  <si>
    <t>Logistic BEV penalty</t>
  </si>
  <si>
    <t>Based on reasoning that BEVs will be less flexible/viable on fewer routes in the beginning. Single-route TCO must be this much lower to beat diesel.</t>
  </si>
  <si>
    <t>Overcapacity (demand variability)</t>
  </si>
  <si>
    <t>EIB shadow cost of carbon</t>
  </si>
  <si>
    <t>https://www.eib.org/attachments/lucalli/20240105_eib_sasb_report_2023_en.pdf</t>
  </si>
  <si>
    <t>Link, S., Stephan, A., Speth, D. et al. Rapidly declining costs of truck batteries and fuel cells enable large-scale road freight electrification. Nat Energy 9, 1032–1039 (2024). https://doi.org/10.1038/s41560-024-01531-9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</si>
</sst>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
    <numFmt numFmtId="166" formatCode="0.0000"/>
    <numFmt numFmtId="167" formatCode="0.000"/>
    <numFmt numFmtId="168" formatCode="#,##0.000"/>
    <numFmt numFmtId="169" formatCode="#,##0.0"/>
    <numFmt numFmtId="170" formatCode="0.0E+00"/>
    <numFmt numFmtId="171" formatCode="0.000%"/>
    <numFmt numFmtId="172" formatCode="0.000000%"/>
    <numFmt numFmtId="173" formatCode="0.E+00"/>
    <numFmt numFmtId="174" formatCode="0.00000000000000000%"/>
  </numFmts>
  <fonts count="31"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sz val="11"/>
      <color rgb="FF000000"/>
      <name val="Calibri"/>
      <family val="2"/>
      <scheme val="minor"/>
    </font>
    <font>
      <b/>
      <sz val="9"/>
      <color indexed="81"/>
      <name val="Tahoma"/>
      <family val="2"/>
    </font>
    <font>
      <sz val="9"/>
      <color indexed="81"/>
      <name val="Tahoma"/>
      <family val="2"/>
    </font>
    <font>
      <b/>
      <i/>
      <sz val="11"/>
      <color theme="1"/>
      <name val="Calibri"/>
      <family val="2"/>
      <scheme val="minor"/>
    </font>
    <font>
      <i/>
      <sz val="11"/>
      <name val="Calibri"/>
      <family val="2"/>
      <scheme val="minor"/>
    </font>
    <font>
      <i/>
      <sz val="11"/>
      <color theme="1"/>
      <name val="Calibri"/>
      <family val="2"/>
      <scheme val="minor"/>
    </font>
    <font>
      <u/>
      <sz val="11"/>
      <color theme="10"/>
      <name val="Calibri"/>
      <family val="2"/>
      <scheme val="minor"/>
    </font>
    <font>
      <b/>
      <sz val="11"/>
      <name val="Calibri"/>
      <family val="2"/>
      <scheme val="minor"/>
    </font>
    <font>
      <b/>
      <sz val="12"/>
      <color theme="0"/>
      <name val="Calibri"/>
      <family val="2"/>
      <scheme val="minor"/>
    </font>
    <font>
      <sz val="12"/>
      <color theme="0"/>
      <name val="Calibri"/>
      <family val="2"/>
      <scheme val="minor"/>
    </font>
    <font>
      <b/>
      <sz val="12"/>
      <name val="Calibri"/>
      <family val="2"/>
      <scheme val="minor"/>
    </font>
    <font>
      <b/>
      <sz val="9"/>
      <color rgb="FF000000"/>
      <name val="Tahoma"/>
      <family val="2"/>
    </font>
    <font>
      <sz val="9"/>
      <color rgb="FF000000"/>
      <name val="Tahoma"/>
      <family val="2"/>
    </font>
    <font>
      <sz val="8"/>
      <name val="Calibri"/>
      <family val="2"/>
      <scheme val="minor"/>
    </font>
    <font>
      <sz val="11"/>
      <color theme="9"/>
      <name val="Calibri"/>
      <family val="2"/>
      <scheme val="minor"/>
    </font>
    <font>
      <sz val="10"/>
      <color theme="1"/>
      <name val="Calibri"/>
      <family val="2"/>
      <scheme val="minor"/>
    </font>
    <font>
      <sz val="9"/>
      <color theme="1"/>
      <name val="Calibri"/>
      <family val="2"/>
      <scheme val="minor"/>
    </font>
    <font>
      <sz val="8"/>
      <color theme="1"/>
      <name val="Calibri"/>
      <family val="2"/>
      <scheme val="minor"/>
    </font>
    <font>
      <b/>
      <sz val="9"/>
      <color theme="1"/>
      <name val="Calibri"/>
      <family val="2"/>
      <scheme val="minor"/>
    </font>
    <font>
      <strike/>
      <sz val="11"/>
      <color theme="1"/>
      <name val="Calibri"/>
      <family val="2"/>
      <scheme val="minor"/>
    </font>
    <font>
      <strike/>
      <sz val="11"/>
      <name val="Calibri"/>
      <family val="2"/>
      <scheme val="minor"/>
    </font>
    <font>
      <sz val="9"/>
      <color indexed="81"/>
      <name val="Tahoma"/>
      <charset val="1"/>
    </font>
    <font>
      <b/>
      <sz val="9"/>
      <color indexed="81"/>
      <name val="Tahoma"/>
      <charset val="1"/>
    </font>
    <font>
      <b/>
      <sz val="8"/>
      <color theme="1"/>
      <name val="Calibri"/>
      <family val="2"/>
      <scheme val="minor"/>
    </font>
    <font>
      <sz val="8"/>
      <color theme="0"/>
      <name val="Calibri"/>
      <family val="2"/>
      <scheme val="minor"/>
    </font>
    <font>
      <sz val="6"/>
      <color theme="1"/>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rgb="FFFFFF00"/>
        <bgColor indexed="64"/>
      </patternFill>
    </fill>
  </fills>
  <borders count="25">
    <border>
      <left/>
      <right/>
      <top/>
      <bottom/>
      <diagonal/>
    </border>
    <border>
      <left/>
      <right/>
      <top/>
      <bottom style="thick">
        <color auto="1"/>
      </bottom>
      <diagonal/>
    </border>
    <border>
      <left style="thick">
        <color auto="1"/>
      </left>
      <right/>
      <top/>
      <bottom style="thick">
        <color auto="1"/>
      </bottom>
      <diagonal/>
    </border>
    <border>
      <left/>
      <right style="thick">
        <color auto="1"/>
      </right>
      <top/>
      <bottom style="thick">
        <color auto="1"/>
      </bottom>
      <diagonal/>
    </border>
    <border>
      <left/>
      <right style="thick">
        <color auto="1"/>
      </right>
      <top/>
      <bottom/>
      <diagonal/>
    </border>
    <border>
      <left/>
      <right style="thick">
        <color auto="1"/>
      </right>
      <top style="thick">
        <color auto="1"/>
      </top>
      <bottom/>
      <diagonal/>
    </border>
    <border>
      <left/>
      <right/>
      <top style="thick">
        <color auto="1"/>
      </top>
      <bottom/>
      <diagonal/>
    </border>
    <border>
      <left/>
      <right/>
      <top style="thin">
        <color auto="1"/>
      </top>
      <bottom/>
      <diagonal/>
    </border>
    <border>
      <left/>
      <right/>
      <top/>
      <bottom style="thin">
        <color auto="1"/>
      </bottom>
      <diagonal/>
    </border>
    <border>
      <left style="thick">
        <color auto="1"/>
      </left>
      <right/>
      <top/>
      <bottom/>
      <diagonal/>
    </border>
    <border>
      <left/>
      <right/>
      <top/>
      <bottom style="medium">
        <color indexed="64"/>
      </bottom>
      <diagonal/>
    </border>
    <border>
      <left style="thick">
        <color auto="1"/>
      </left>
      <right style="thick">
        <color auto="1"/>
      </right>
      <top/>
      <bottom/>
      <diagonal/>
    </border>
    <border>
      <left/>
      <right/>
      <top/>
      <bottom style="thin">
        <color theme="4" tint="0.39997558519241921"/>
      </bottom>
      <diagonal/>
    </border>
    <border>
      <left/>
      <right style="thick">
        <color auto="1"/>
      </right>
      <top/>
      <bottom style="medium">
        <color indexed="64"/>
      </bottom>
      <diagonal/>
    </border>
    <border>
      <left/>
      <right/>
      <top style="thin">
        <color indexed="64"/>
      </top>
      <bottom style="thin">
        <color indexed="64"/>
      </bottom>
      <diagonal/>
    </border>
    <border>
      <left style="thin">
        <color indexed="64"/>
      </left>
      <right/>
      <top/>
      <bottom/>
      <diagonal/>
    </border>
    <border>
      <left style="medium">
        <color auto="1"/>
      </left>
      <right/>
      <top/>
      <bottom/>
      <diagonal/>
    </border>
    <border>
      <left/>
      <right style="thick">
        <color auto="1"/>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11" fillId="0" borderId="0" applyNumberFormat="0" applyFill="0" applyBorder="0" applyAlignment="0" applyProtection="0"/>
  </cellStyleXfs>
  <cellXfs count="255">
    <xf numFmtId="0" fontId="0" fillId="0" borderId="0" xfId="0"/>
    <xf numFmtId="0" fontId="3" fillId="0" borderId="1" xfId="0" applyFont="1" applyBorder="1"/>
    <xf numFmtId="0" fontId="3" fillId="0" borderId="2" xfId="0" applyFont="1" applyBorder="1"/>
    <xf numFmtId="0" fontId="3" fillId="0" borderId="3" xfId="0" applyFont="1" applyBorder="1"/>
    <xf numFmtId="0" fontId="3" fillId="0" borderId="0" xfId="0" applyFont="1"/>
    <xf numFmtId="0" fontId="0" fillId="0" borderId="4" xfId="0" applyBorder="1"/>
    <xf numFmtId="9" fontId="0" fillId="0" borderId="0" xfId="1" applyFont="1"/>
    <xf numFmtId="9" fontId="0" fillId="2" borderId="0" xfId="1" applyFont="1" applyFill="1" applyBorder="1"/>
    <xf numFmtId="9" fontId="0" fillId="2" borderId="4" xfId="1" applyFont="1" applyFill="1" applyBorder="1"/>
    <xf numFmtId="164" fontId="0" fillId="0" borderId="0" xfId="0" applyNumberFormat="1"/>
    <xf numFmtId="1" fontId="0" fillId="2" borderId="0" xfId="0" applyNumberFormat="1" applyFill="1"/>
    <xf numFmtId="1" fontId="0" fillId="2" borderId="4" xfId="0" applyNumberFormat="1" applyFill="1" applyBorder="1"/>
    <xf numFmtId="165" fontId="0" fillId="2" borderId="0" xfId="0" applyNumberFormat="1" applyFill="1"/>
    <xf numFmtId="165" fontId="0" fillId="2" borderId="4" xfId="0" applyNumberFormat="1" applyFill="1" applyBorder="1"/>
    <xf numFmtId="2" fontId="0" fillId="0" borderId="0" xfId="0" applyNumberFormat="1"/>
    <xf numFmtId="2" fontId="0" fillId="2" borderId="0" xfId="0" applyNumberFormat="1" applyFill="1"/>
    <xf numFmtId="2" fontId="0" fillId="2" borderId="4" xfId="0" applyNumberFormat="1" applyFill="1" applyBorder="1"/>
    <xf numFmtId="0" fontId="0" fillId="0" borderId="5" xfId="0" applyBorder="1"/>
    <xf numFmtId="0" fontId="4" fillId="0" borderId="0" xfId="0" applyFont="1"/>
    <xf numFmtId="164" fontId="4" fillId="0" borderId="0" xfId="0" applyNumberFormat="1" applyFont="1"/>
    <xf numFmtId="0" fontId="0" fillId="0" borderId="6" xfId="0" applyBorder="1"/>
    <xf numFmtId="2" fontId="4" fillId="0" borderId="0" xfId="0" applyNumberFormat="1" applyFont="1"/>
    <xf numFmtId="0" fontId="0" fillId="0" borderId="7" xfId="0" applyBorder="1"/>
    <xf numFmtId="3" fontId="0" fillId="0" borderId="0" xfId="0" applyNumberFormat="1"/>
    <xf numFmtId="0" fontId="0" fillId="0" borderId="8" xfId="0" applyBorder="1"/>
    <xf numFmtId="164" fontId="0" fillId="0" borderId="6" xfId="0" applyNumberFormat="1" applyBorder="1"/>
    <xf numFmtId="164" fontId="0" fillId="0" borderId="8" xfId="0" applyNumberFormat="1" applyBorder="1"/>
    <xf numFmtId="3" fontId="4" fillId="0" borderId="0" xfId="0" applyNumberFormat="1" applyFont="1"/>
    <xf numFmtId="0" fontId="4" fillId="2" borderId="0" xfId="0" applyFont="1" applyFill="1"/>
    <xf numFmtId="3" fontId="4" fillId="2" borderId="0" xfId="0" applyNumberFormat="1" applyFont="1" applyFill="1"/>
    <xf numFmtId="2" fontId="4" fillId="2" borderId="0" xfId="0" applyNumberFormat="1" applyFont="1" applyFill="1"/>
    <xf numFmtId="164" fontId="4" fillId="2" borderId="0" xfId="1" applyNumberFormat="1" applyFont="1" applyFill="1" applyBorder="1"/>
    <xf numFmtId="3" fontId="4" fillId="2" borderId="8" xfId="0" applyNumberFormat="1" applyFont="1" applyFill="1" applyBorder="1"/>
    <xf numFmtId="9" fontId="9" fillId="0" borderId="0" xfId="1" applyFont="1"/>
    <xf numFmtId="9" fontId="10" fillId="0" borderId="0" xfId="1" applyFont="1" applyBorder="1"/>
    <xf numFmtId="0" fontId="8" fillId="0" borderId="0" xfId="1" applyNumberFormat="1" applyFont="1" applyBorder="1"/>
    <xf numFmtId="9" fontId="0" fillId="2" borderId="0" xfId="1" applyFont="1" applyFill="1"/>
    <xf numFmtId="2" fontId="0" fillId="2" borderId="9" xfId="0" applyNumberFormat="1" applyFill="1" applyBorder="1"/>
    <xf numFmtId="3" fontId="0" fillId="2" borderId="0" xfId="0" applyNumberFormat="1" applyFill="1"/>
    <xf numFmtId="3" fontId="0" fillId="2" borderId="4" xfId="0" applyNumberFormat="1" applyFill="1" applyBorder="1"/>
    <xf numFmtId="1" fontId="0" fillId="2" borderId="0" xfId="1" applyNumberFormat="1" applyFont="1" applyFill="1" applyBorder="1"/>
    <xf numFmtId="1" fontId="0" fillId="2" borderId="4" xfId="1" applyNumberFormat="1" applyFont="1" applyFill="1" applyBorder="1"/>
    <xf numFmtId="9" fontId="0" fillId="0" borderId="0" xfId="0" applyNumberFormat="1"/>
    <xf numFmtId="0" fontId="0" fillId="2" borderId="0" xfId="1" applyNumberFormat="1" applyFont="1" applyFill="1" applyBorder="1"/>
    <xf numFmtId="0" fontId="0" fillId="2" borderId="4" xfId="1" applyNumberFormat="1" applyFont="1" applyFill="1" applyBorder="1"/>
    <xf numFmtId="166" fontId="0" fillId="2" borderId="0" xfId="0" applyNumberFormat="1" applyFill="1"/>
    <xf numFmtId="166" fontId="0" fillId="2" borderId="4" xfId="0" applyNumberFormat="1" applyFill="1" applyBorder="1"/>
    <xf numFmtId="0" fontId="3" fillId="0" borderId="10" xfId="0" applyFont="1" applyBorder="1"/>
    <xf numFmtId="164" fontId="4" fillId="0" borderId="9" xfId="1" applyNumberFormat="1" applyFont="1" applyBorder="1"/>
    <xf numFmtId="0" fontId="4" fillId="0" borderId="9" xfId="0" applyFont="1" applyBorder="1"/>
    <xf numFmtId="2" fontId="0" fillId="0" borderId="9" xfId="0" applyNumberFormat="1" applyBorder="1"/>
    <xf numFmtId="9" fontId="0" fillId="0" borderId="9" xfId="0" applyNumberFormat="1" applyBorder="1"/>
    <xf numFmtId="0" fontId="0" fillId="0" borderId="9" xfId="0" applyBorder="1"/>
    <xf numFmtId="164" fontId="4" fillId="2" borderId="4" xfId="1" applyNumberFormat="1" applyFont="1" applyFill="1" applyBorder="1"/>
    <xf numFmtId="2" fontId="4" fillId="2" borderId="4" xfId="0" applyNumberFormat="1" applyFont="1" applyFill="1" applyBorder="1"/>
    <xf numFmtId="167" fontId="0" fillId="2" borderId="0" xfId="0" applyNumberFormat="1" applyFill="1"/>
    <xf numFmtId="167" fontId="0" fillId="2" borderId="4" xfId="0" applyNumberFormat="1" applyFill="1" applyBorder="1"/>
    <xf numFmtId="1" fontId="4" fillId="2" borderId="0" xfId="0" applyNumberFormat="1" applyFont="1" applyFill="1"/>
    <xf numFmtId="0" fontId="11" fillId="0" borderId="0" xfId="2"/>
    <xf numFmtId="0" fontId="11" fillId="0" borderId="11" xfId="2" applyBorder="1" applyAlignment="1"/>
    <xf numFmtId="0" fontId="0" fillId="0" borderId="11" xfId="0" applyBorder="1"/>
    <xf numFmtId="0" fontId="4" fillId="0" borderId="11" xfId="0" applyFont="1" applyBorder="1"/>
    <xf numFmtId="0" fontId="0" fillId="0" borderId="11" xfId="0" applyBorder="1" applyAlignment="1">
      <alignment vertical="center" wrapText="1"/>
    </xf>
    <xf numFmtId="0" fontId="4" fillId="0" borderId="0" xfId="2" applyFont="1"/>
    <xf numFmtId="0" fontId="0" fillId="2" borderId="0" xfId="0" applyFill="1"/>
    <xf numFmtId="0" fontId="0" fillId="2" borderId="9" xfId="0" applyFill="1" applyBorder="1"/>
    <xf numFmtId="167" fontId="0" fillId="2" borderId="9" xfId="0" applyNumberFormat="1" applyFill="1" applyBorder="1"/>
    <xf numFmtId="165" fontId="0" fillId="2" borderId="9" xfId="0" applyNumberFormat="1" applyFill="1" applyBorder="1"/>
    <xf numFmtId="165" fontId="0" fillId="0" borderId="0" xfId="0" applyNumberFormat="1"/>
    <xf numFmtId="0" fontId="4" fillId="2" borderId="0" xfId="1" applyNumberFormat="1" applyFont="1" applyFill="1" applyBorder="1"/>
    <xf numFmtId="0" fontId="4" fillId="2" borderId="4" xfId="1" applyNumberFormat="1" applyFont="1" applyFill="1" applyBorder="1"/>
    <xf numFmtId="9" fontId="4" fillId="2" borderId="0" xfId="1" applyFont="1" applyFill="1" applyBorder="1"/>
    <xf numFmtId="9" fontId="4" fillId="2" borderId="4" xfId="1" applyFont="1" applyFill="1" applyBorder="1"/>
    <xf numFmtId="167" fontId="4" fillId="2" borderId="0" xfId="1" applyNumberFormat="1" applyFont="1" applyFill="1" applyBorder="1"/>
    <xf numFmtId="2" fontId="4" fillId="2" borderId="0" xfId="1" applyNumberFormat="1" applyFont="1" applyFill="1" applyBorder="1"/>
    <xf numFmtId="165" fontId="4" fillId="2" borderId="0" xfId="1" applyNumberFormat="1" applyFont="1" applyFill="1" applyBorder="1"/>
    <xf numFmtId="1" fontId="4" fillId="2" borderId="0" xfId="1" applyNumberFormat="1" applyFont="1" applyFill="1" applyBorder="1"/>
    <xf numFmtId="1" fontId="4" fillId="2" borderId="4" xfId="1" applyNumberFormat="1" applyFont="1" applyFill="1" applyBorder="1"/>
    <xf numFmtId="0" fontId="13" fillId="3" borderId="0" xfId="0" applyFont="1" applyFill="1"/>
    <xf numFmtId="9" fontId="0" fillId="0" borderId="8" xfId="0" applyNumberFormat="1" applyBorder="1"/>
    <xf numFmtId="9" fontId="0" fillId="4" borderId="0" xfId="0" applyNumberFormat="1" applyFill="1"/>
    <xf numFmtId="0" fontId="14" fillId="3" borderId="0" xfId="0" applyFont="1" applyFill="1"/>
    <xf numFmtId="0" fontId="15" fillId="0" borderId="0" xfId="0" applyFont="1"/>
    <xf numFmtId="9" fontId="0" fillId="4" borderId="0" xfId="1" applyFont="1" applyFill="1"/>
    <xf numFmtId="1" fontId="0" fillId="0" borderId="0" xfId="0" applyNumberFormat="1"/>
    <xf numFmtId="0" fontId="3" fillId="0" borderId="12" xfId="0" applyFont="1" applyBorder="1"/>
    <xf numFmtId="3" fontId="0" fillId="4" borderId="0" xfId="0" applyNumberFormat="1" applyFill="1"/>
    <xf numFmtId="4" fontId="4" fillId="2" borderId="0" xfId="0" applyNumberFormat="1" applyFont="1" applyFill="1"/>
    <xf numFmtId="4" fontId="4" fillId="2" borderId="4" xfId="0" applyNumberFormat="1" applyFont="1" applyFill="1" applyBorder="1"/>
    <xf numFmtId="0" fontId="0" fillId="0" borderId="10" xfId="0" applyBorder="1"/>
    <xf numFmtId="0" fontId="0" fillId="0" borderId="13" xfId="0" applyBorder="1"/>
    <xf numFmtId="9" fontId="0" fillId="2" borderId="0" xfId="0" applyNumberFormat="1" applyFill="1"/>
    <xf numFmtId="167" fontId="4" fillId="0" borderId="0" xfId="0" applyNumberFormat="1" applyFont="1"/>
    <xf numFmtId="167" fontId="5" fillId="0" borderId="0" xfId="0" applyNumberFormat="1" applyFont="1"/>
    <xf numFmtId="3" fontId="4" fillId="0" borderId="0" xfId="0" applyNumberFormat="1" applyFont="1" applyAlignment="1">
      <alignment horizontal="right" vertical="center"/>
    </xf>
    <xf numFmtId="0" fontId="4" fillId="0" borderId="0" xfId="0" applyFont="1" applyAlignment="1">
      <alignment horizontal="right" vertical="center"/>
    </xf>
    <xf numFmtId="168" fontId="0" fillId="0" borderId="0" xfId="0" applyNumberFormat="1"/>
    <xf numFmtId="9" fontId="4" fillId="0" borderId="0" xfId="1" applyFont="1" applyAlignment="1">
      <alignment horizontal="right" vertical="center"/>
    </xf>
    <xf numFmtId="3" fontId="4" fillId="0" borderId="0" xfId="1" applyNumberFormat="1" applyFont="1" applyBorder="1"/>
    <xf numFmtId="0" fontId="0" fillId="0" borderId="14" xfId="0" applyBorder="1"/>
    <xf numFmtId="9" fontId="0" fillId="0" borderId="14" xfId="1" applyFont="1" applyBorder="1"/>
    <xf numFmtId="167" fontId="4" fillId="2" borderId="0" xfId="0" applyNumberFormat="1" applyFont="1" applyFill="1"/>
    <xf numFmtId="0" fontId="4" fillId="0" borderId="0" xfId="1" applyNumberFormat="1" applyFont="1" applyBorder="1" applyAlignment="1">
      <alignment horizontal="right" vertical="center"/>
    </xf>
    <xf numFmtId="9" fontId="4" fillId="0" borderId="0" xfId="0" applyNumberFormat="1" applyFont="1"/>
    <xf numFmtId="0" fontId="12" fillId="0" borderId="0" xfId="0" applyFont="1"/>
    <xf numFmtId="0" fontId="4" fillId="0" borderId="0" xfId="0" applyFont="1" applyAlignment="1">
      <alignment vertical="center"/>
    </xf>
    <xf numFmtId="1" fontId="4" fillId="0" borderId="0" xfId="0" applyNumberFormat="1" applyFont="1"/>
    <xf numFmtId="3" fontId="4" fillId="2" borderId="0" xfId="1" applyNumberFormat="1" applyFont="1" applyFill="1" applyBorder="1"/>
    <xf numFmtId="4" fontId="4" fillId="2" borderId="7" xfId="0" applyNumberFormat="1" applyFont="1" applyFill="1" applyBorder="1"/>
    <xf numFmtId="1" fontId="4" fillId="0" borderId="8" xfId="0" applyNumberFormat="1" applyFont="1" applyBorder="1" applyAlignment="1">
      <alignment horizontal="right" vertical="center"/>
    </xf>
    <xf numFmtId="1" fontId="4" fillId="0" borderId="8" xfId="0" applyNumberFormat="1" applyFont="1" applyBorder="1"/>
    <xf numFmtId="0" fontId="4" fillId="0" borderId="8" xfId="0" applyFont="1" applyBorder="1" applyAlignment="1">
      <alignment horizontal="right" vertical="center"/>
    </xf>
    <xf numFmtId="9" fontId="0" fillId="2" borderId="14" xfId="1" applyFont="1" applyFill="1" applyBorder="1"/>
    <xf numFmtId="1" fontId="0" fillId="2" borderId="7" xfId="0" applyNumberFormat="1" applyFill="1" applyBorder="1"/>
    <xf numFmtId="1" fontId="0" fillId="2" borderId="8" xfId="0" applyNumberFormat="1" applyFill="1" applyBorder="1"/>
    <xf numFmtId="168" fontId="4" fillId="0" borderId="0" xfId="0" applyNumberFormat="1" applyFont="1"/>
    <xf numFmtId="1" fontId="4" fillId="0" borderId="0" xfId="1" applyNumberFormat="1" applyFont="1" applyBorder="1"/>
    <xf numFmtId="1" fontId="0" fillId="2" borderId="0" xfId="1" applyNumberFormat="1" applyFont="1" applyFill="1"/>
    <xf numFmtId="9" fontId="0" fillId="0" borderId="10" xfId="1" applyFont="1" applyBorder="1"/>
    <xf numFmtId="9" fontId="0" fillId="2" borderId="10" xfId="1" applyFont="1" applyFill="1" applyBorder="1"/>
    <xf numFmtId="9" fontId="0" fillId="2" borderId="13" xfId="1" applyFont="1" applyFill="1" applyBorder="1"/>
    <xf numFmtId="3" fontId="0" fillId="2" borderId="0" xfId="1" applyNumberFormat="1" applyFont="1" applyFill="1" applyBorder="1"/>
    <xf numFmtId="3" fontId="0" fillId="2" borderId="4" xfId="1" applyNumberFormat="1" applyFont="1" applyFill="1" applyBorder="1"/>
    <xf numFmtId="0" fontId="0" fillId="0" borderId="0" xfId="0" applyAlignment="1">
      <alignment horizontal="right"/>
    </xf>
    <xf numFmtId="3" fontId="0" fillId="0" borderId="0" xfId="0" applyNumberFormat="1" applyAlignment="1">
      <alignment shrinkToFit="1"/>
    </xf>
    <xf numFmtId="2" fontId="0" fillId="4" borderId="0" xfId="1" applyNumberFormat="1" applyFont="1" applyFill="1"/>
    <xf numFmtId="167" fontId="0" fillId="0" borderId="0" xfId="0" applyNumberFormat="1"/>
    <xf numFmtId="0" fontId="0" fillId="0" borderId="15" xfId="0" applyBorder="1"/>
    <xf numFmtId="3" fontId="0" fillId="0" borderId="15" xfId="0" applyNumberFormat="1" applyBorder="1" applyAlignment="1">
      <alignment shrinkToFit="1"/>
    </xf>
    <xf numFmtId="167" fontId="0" fillId="0" borderId="15" xfId="0" applyNumberFormat="1" applyBorder="1"/>
    <xf numFmtId="0" fontId="2" fillId="0" borderId="0" xfId="0" applyFont="1"/>
    <xf numFmtId="0" fontId="0" fillId="2" borderId="4" xfId="0" applyFill="1" applyBorder="1"/>
    <xf numFmtId="169" fontId="4" fillId="0" borderId="0" xfId="0" applyNumberFormat="1" applyFont="1"/>
    <xf numFmtId="169" fontId="4" fillId="2" borderId="0" xfId="0" applyNumberFormat="1" applyFont="1" applyFill="1"/>
    <xf numFmtId="2" fontId="4" fillId="0" borderId="9" xfId="1" applyNumberFormat="1" applyFont="1" applyBorder="1"/>
    <xf numFmtId="2" fontId="4" fillId="2" borderId="4" xfId="1" applyNumberFormat="1" applyFont="1" applyFill="1" applyBorder="1"/>
    <xf numFmtId="167" fontId="0" fillId="4" borderId="0" xfId="0" applyNumberFormat="1" applyFill="1"/>
    <xf numFmtId="4" fontId="0" fillId="0" borderId="0" xfId="0" applyNumberFormat="1"/>
    <xf numFmtId="170" fontId="0" fillId="0" borderId="0" xfId="0" applyNumberFormat="1"/>
    <xf numFmtId="0" fontId="19" fillId="0" borderId="0" xfId="0" applyFont="1"/>
    <xf numFmtId="0" fontId="20" fillId="0" borderId="0" xfId="0" applyFont="1"/>
    <xf numFmtId="4" fontId="20" fillId="0" borderId="0" xfId="0" applyNumberFormat="1" applyFont="1"/>
    <xf numFmtId="0" fontId="20" fillId="0" borderId="16" xfId="0" applyFont="1" applyBorder="1"/>
    <xf numFmtId="1" fontId="20" fillId="0" borderId="0" xfId="0" applyNumberFormat="1" applyFont="1"/>
    <xf numFmtId="1" fontId="0" fillId="0" borderId="8" xfId="0" applyNumberFormat="1" applyBorder="1"/>
    <xf numFmtId="0" fontId="4" fillId="2" borderId="8" xfId="1" applyNumberFormat="1" applyFont="1" applyFill="1" applyBorder="1"/>
    <xf numFmtId="0" fontId="4" fillId="2" borderId="17" xfId="1" applyNumberFormat="1" applyFont="1" applyFill="1" applyBorder="1"/>
    <xf numFmtId="1" fontId="0" fillId="0" borderId="8" xfId="1" applyNumberFormat="1" applyFont="1" applyFill="1" applyBorder="1"/>
    <xf numFmtId="1" fontId="4" fillId="0" borderId="0" xfId="1" applyNumberFormat="1" applyFont="1" applyFill="1" applyBorder="1"/>
    <xf numFmtId="167" fontId="10" fillId="0" borderId="0" xfId="1" applyNumberFormat="1" applyFont="1" applyBorder="1"/>
    <xf numFmtId="167" fontId="1" fillId="0" borderId="0" xfId="1" applyNumberFormat="1" applyFont="1" applyBorder="1"/>
    <xf numFmtId="0" fontId="4" fillId="2" borderId="0" xfId="1" applyNumberFormat="1" applyFont="1" applyFill="1"/>
    <xf numFmtId="0" fontId="0" fillId="0" borderId="18" xfId="0" applyBorder="1"/>
    <xf numFmtId="3" fontId="0" fillId="0" borderId="18" xfId="0" applyNumberFormat="1" applyBorder="1" applyAlignment="1">
      <alignment shrinkToFit="1"/>
    </xf>
    <xf numFmtId="1" fontId="0" fillId="0" borderId="0" xfId="1" applyNumberFormat="1" applyFont="1" applyAlignment="1">
      <alignment horizontal="center" vertical="center"/>
    </xf>
    <xf numFmtId="1" fontId="0" fillId="0" borderId="0" xfId="0" applyNumberFormat="1" applyAlignment="1">
      <alignment horizontal="center" vertical="center"/>
    </xf>
    <xf numFmtId="9" fontId="0" fillId="0" borderId="0" xfId="0" applyNumberFormat="1" applyAlignment="1">
      <alignment horizontal="center"/>
    </xf>
    <xf numFmtId="0" fontId="22" fillId="0" borderId="0" xfId="0" applyFont="1"/>
    <xf numFmtId="1" fontId="21" fillId="0" borderId="0" xfId="0" applyNumberFormat="1" applyFont="1" applyAlignment="1">
      <alignment horizontal="center" vertical="center"/>
    </xf>
    <xf numFmtId="0" fontId="21" fillId="0" borderId="0" xfId="0" applyFont="1" applyAlignment="1">
      <alignment horizontal="center" vertical="center"/>
    </xf>
    <xf numFmtId="0" fontId="23" fillId="0" borderId="0" xfId="0" applyFont="1" applyAlignment="1">
      <alignment horizontal="center" vertical="center"/>
    </xf>
    <xf numFmtId="1" fontId="23" fillId="0" borderId="0" xfId="0" applyNumberFormat="1" applyFont="1" applyAlignment="1">
      <alignment horizontal="center" vertical="center"/>
    </xf>
    <xf numFmtId="0" fontId="4" fillId="0" borderId="0" xfId="1" applyNumberFormat="1" applyFont="1" applyFill="1" applyBorder="1"/>
    <xf numFmtId="0" fontId="0" fillId="5" borderId="0" xfId="0" applyFill="1"/>
    <xf numFmtId="14" fontId="0" fillId="0" borderId="0" xfId="0" applyNumberFormat="1"/>
    <xf numFmtId="15" fontId="0" fillId="0" borderId="0" xfId="0" applyNumberFormat="1"/>
    <xf numFmtId="0" fontId="10" fillId="0" borderId="0" xfId="0" applyFont="1"/>
    <xf numFmtId="2" fontId="10" fillId="0" borderId="0" xfId="0" applyNumberFormat="1" applyFont="1"/>
    <xf numFmtId="9" fontId="4" fillId="2" borderId="0" xfId="1" applyFont="1" applyFill="1"/>
    <xf numFmtId="0" fontId="0" fillId="0" borderId="11" xfId="0" applyBorder="1" applyAlignment="1">
      <alignment vertical="center"/>
    </xf>
    <xf numFmtId="0" fontId="24" fillId="0" borderId="0" xfId="0" applyFont="1"/>
    <xf numFmtId="0" fontId="24" fillId="0" borderId="4" xfId="0" applyFont="1" applyBorder="1"/>
    <xf numFmtId="9" fontId="24" fillId="2" borderId="0" xfId="1" applyFont="1" applyFill="1" applyBorder="1"/>
    <xf numFmtId="9" fontId="24" fillId="2" borderId="4" xfId="1" applyFont="1" applyFill="1" applyBorder="1"/>
    <xf numFmtId="9" fontId="25" fillId="0" borderId="0" xfId="1" applyFont="1"/>
    <xf numFmtId="9" fontId="24" fillId="2" borderId="0" xfId="1" applyFont="1" applyFill="1"/>
    <xf numFmtId="9" fontId="4" fillId="0" borderId="9" xfId="1" applyFont="1" applyBorder="1"/>
    <xf numFmtId="0" fontId="21" fillId="0" borderId="0" xfId="0" applyFont="1"/>
    <xf numFmtId="9" fontId="21" fillId="0" borderId="0" xfId="0" applyNumberFormat="1" applyFont="1"/>
    <xf numFmtId="9" fontId="21" fillId="0" borderId="0" xfId="1" applyFont="1"/>
    <xf numFmtId="171" fontId="21" fillId="0" borderId="0" xfId="1" applyNumberFormat="1" applyFont="1"/>
    <xf numFmtId="172" fontId="21" fillId="0" borderId="0" xfId="0" applyNumberFormat="1" applyFont="1"/>
    <xf numFmtId="0" fontId="4" fillId="0" borderId="11" xfId="2" applyFont="1" applyBorder="1" applyAlignment="1"/>
    <xf numFmtId="9" fontId="10" fillId="0" borderId="0" xfId="1" applyFont="1"/>
    <xf numFmtId="167" fontId="10" fillId="0" borderId="0" xfId="1" applyNumberFormat="1" applyFont="1"/>
    <xf numFmtId="4" fontId="4" fillId="0" borderId="9" xfId="0" applyNumberFormat="1" applyFont="1" applyBorder="1"/>
    <xf numFmtId="0" fontId="11" fillId="0" borderId="4" xfId="2" applyBorder="1" applyAlignment="1">
      <alignment vertical="center"/>
    </xf>
    <xf numFmtId="0" fontId="0" fillId="0" borderId="4" xfId="0" applyBorder="1" applyAlignment="1">
      <alignment vertical="center" wrapText="1"/>
    </xf>
    <xf numFmtId="0" fontId="11" fillId="0" borderId="4" xfId="2" applyBorder="1" applyAlignment="1"/>
    <xf numFmtId="164" fontId="0" fillId="0" borderId="11" xfId="0" applyNumberFormat="1" applyBorder="1"/>
    <xf numFmtId="164" fontId="4" fillId="0" borderId="11" xfId="0" applyNumberFormat="1" applyFont="1" applyBorder="1"/>
    <xf numFmtId="170" fontId="4" fillId="2" borderId="0" xfId="1" applyNumberFormat="1" applyFont="1" applyFill="1" applyBorder="1"/>
    <xf numFmtId="170" fontId="4" fillId="2" borderId="0" xfId="0" applyNumberFormat="1" applyFont="1" applyFill="1"/>
    <xf numFmtId="170" fontId="4" fillId="2" borderId="4" xfId="0" applyNumberFormat="1" applyFont="1" applyFill="1" applyBorder="1"/>
    <xf numFmtId="0" fontId="0" fillId="4" borderId="0" xfId="0" applyFill="1"/>
    <xf numFmtId="165" fontId="0" fillId="4" borderId="0" xfId="0" applyNumberFormat="1" applyFill="1"/>
    <xf numFmtId="1" fontId="0" fillId="4" borderId="0" xfId="0" applyNumberFormat="1" applyFill="1"/>
    <xf numFmtId="0" fontId="3" fillId="4" borderId="0" xfId="0" applyFont="1" applyFill="1"/>
    <xf numFmtId="165" fontId="3" fillId="4" borderId="0" xfId="0" applyNumberFormat="1" applyFont="1" applyFill="1"/>
    <xf numFmtId="173" fontId="20" fillId="0" borderId="0" xfId="0" applyNumberFormat="1" applyFont="1"/>
    <xf numFmtId="9" fontId="20" fillId="0" borderId="0" xfId="1" applyFont="1"/>
    <xf numFmtId="9" fontId="0" fillId="6" borderId="9" xfId="0" applyNumberFormat="1" applyFill="1" applyBorder="1"/>
    <xf numFmtId="9" fontId="4" fillId="6" borderId="0" xfId="1" applyFont="1" applyFill="1"/>
    <xf numFmtId="170" fontId="0" fillId="2" borderId="9" xfId="0" applyNumberFormat="1" applyFill="1" applyBorder="1"/>
    <xf numFmtId="0" fontId="0" fillId="6" borderId="9" xfId="0" applyFill="1" applyBorder="1"/>
    <xf numFmtId="164" fontId="0" fillId="6" borderId="11" xfId="0" applyNumberFormat="1" applyFill="1" applyBorder="1"/>
    <xf numFmtId="4" fontId="4" fillId="6" borderId="9" xfId="0" applyNumberFormat="1" applyFont="1" applyFill="1" applyBorder="1"/>
    <xf numFmtId="174" fontId="25" fillId="2" borderId="0" xfId="1" applyNumberFormat="1" applyFont="1" applyFill="1" applyBorder="1"/>
    <xf numFmtId="0" fontId="28" fillId="0" borderId="19" xfId="0" applyFont="1" applyBorder="1" applyAlignment="1">
      <alignment vertical="center"/>
    </xf>
    <xf numFmtId="0" fontId="22" fillId="0" borderId="19" xfId="0" applyFont="1" applyBorder="1" applyAlignment="1">
      <alignment vertical="center"/>
    </xf>
    <xf numFmtId="2" fontId="22" fillId="0" borderId="19" xfId="0" applyNumberFormat="1" applyFont="1" applyBorder="1" applyAlignment="1">
      <alignment vertical="center"/>
    </xf>
    <xf numFmtId="2" fontId="22" fillId="2" borderId="19" xfId="0" applyNumberFormat="1" applyFont="1" applyFill="1" applyBorder="1" applyAlignment="1">
      <alignment vertical="center"/>
    </xf>
    <xf numFmtId="9" fontId="22" fillId="0" borderId="19" xfId="1" applyFont="1" applyBorder="1" applyAlignment="1">
      <alignment vertical="center"/>
    </xf>
    <xf numFmtId="1" fontId="22" fillId="0" borderId="19" xfId="0" applyNumberFormat="1" applyFont="1" applyBorder="1" applyAlignment="1">
      <alignment vertical="center"/>
    </xf>
    <xf numFmtId="1" fontId="22" fillId="2" borderId="19" xfId="0" applyNumberFormat="1" applyFont="1" applyFill="1" applyBorder="1" applyAlignment="1">
      <alignment vertical="center"/>
    </xf>
    <xf numFmtId="3" fontId="22" fillId="0" borderId="19" xfId="0" applyNumberFormat="1" applyFont="1" applyBorder="1" applyAlignment="1">
      <alignment vertical="center"/>
    </xf>
    <xf numFmtId="3" fontId="22" fillId="2" borderId="19" xfId="0" applyNumberFormat="1" applyFont="1" applyFill="1" applyBorder="1" applyAlignment="1">
      <alignment vertical="center"/>
    </xf>
    <xf numFmtId="1" fontId="22" fillId="0" borderId="19" xfId="1" applyNumberFormat="1" applyFont="1" applyBorder="1" applyAlignment="1">
      <alignment vertical="center"/>
    </xf>
    <xf numFmtId="1" fontId="22" fillId="2" borderId="19" xfId="1" applyNumberFormat="1" applyFont="1" applyFill="1" applyBorder="1" applyAlignment="1">
      <alignment vertical="center"/>
    </xf>
    <xf numFmtId="9" fontId="22" fillId="2" borderId="19" xfId="1" applyFont="1" applyFill="1" applyBorder="1" applyAlignment="1">
      <alignment vertical="center"/>
    </xf>
    <xf numFmtId="0" fontId="22" fillId="2" borderId="19" xfId="0" applyFont="1" applyFill="1" applyBorder="1" applyAlignment="1">
      <alignment vertical="center"/>
    </xf>
    <xf numFmtId="167" fontId="22" fillId="0" borderId="19" xfId="0" applyNumberFormat="1" applyFont="1" applyBorder="1" applyAlignment="1">
      <alignment vertical="center"/>
    </xf>
    <xf numFmtId="9" fontId="22" fillId="0" borderId="19" xfId="1" applyFont="1" applyFill="1" applyBorder="1" applyAlignment="1">
      <alignment vertical="center"/>
    </xf>
    <xf numFmtId="167" fontId="22" fillId="2" borderId="19" xfId="0" applyNumberFormat="1" applyFont="1" applyFill="1" applyBorder="1" applyAlignment="1">
      <alignment vertical="center"/>
    </xf>
    <xf numFmtId="165" fontId="22" fillId="2" borderId="19" xfId="0" applyNumberFormat="1" applyFont="1" applyFill="1" applyBorder="1" applyAlignment="1">
      <alignment vertical="center"/>
    </xf>
    <xf numFmtId="0" fontId="29" fillId="0" borderId="19" xfId="0" applyFont="1" applyBorder="1" applyAlignment="1">
      <alignment vertical="center"/>
    </xf>
    <xf numFmtId="0" fontId="18" fillId="0" borderId="19" xfId="0" applyFont="1" applyBorder="1" applyAlignment="1">
      <alignment vertical="center"/>
    </xf>
    <xf numFmtId="165" fontId="22" fillId="0" borderId="19" xfId="0" applyNumberFormat="1" applyFont="1" applyBorder="1" applyAlignment="1">
      <alignment vertical="center"/>
    </xf>
    <xf numFmtId="164" fontId="22" fillId="0" borderId="19" xfId="1" applyNumberFormat="1" applyFont="1" applyFill="1" applyBorder="1" applyAlignment="1">
      <alignment vertical="center"/>
    </xf>
    <xf numFmtId="0" fontId="28" fillId="2" borderId="19" xfId="0" applyFont="1" applyFill="1" applyBorder="1" applyAlignment="1">
      <alignment vertical="center"/>
    </xf>
    <xf numFmtId="0" fontId="22" fillId="0" borderId="20" xfId="0" applyFont="1" applyBorder="1" applyAlignment="1">
      <alignment vertical="center"/>
    </xf>
    <xf numFmtId="0" fontId="22" fillId="0" borderId="21" xfId="0" applyFont="1" applyBorder="1" applyAlignment="1">
      <alignment vertical="center"/>
    </xf>
    <xf numFmtId="0" fontId="22" fillId="0" borderId="22" xfId="0" applyFont="1" applyBorder="1" applyAlignment="1">
      <alignment vertical="center"/>
    </xf>
    <xf numFmtId="0" fontId="22" fillId="0" borderId="23" xfId="0" applyFont="1" applyBorder="1" applyAlignment="1">
      <alignment vertical="center"/>
    </xf>
    <xf numFmtId="0" fontId="22" fillId="0" borderId="24" xfId="0" applyFont="1" applyBorder="1" applyAlignment="1">
      <alignment vertical="center"/>
    </xf>
    <xf numFmtId="0" fontId="22" fillId="0" borderId="15" xfId="0" applyFont="1" applyBorder="1" applyAlignment="1">
      <alignment vertical="center"/>
    </xf>
    <xf numFmtId="0" fontId="22" fillId="0" borderId="7" xfId="0" applyFont="1" applyBorder="1" applyAlignment="1">
      <alignment vertical="center"/>
    </xf>
    <xf numFmtId="0" fontId="22" fillId="0" borderId="8" xfId="0" applyFont="1" applyBorder="1" applyAlignment="1">
      <alignment vertical="center"/>
    </xf>
    <xf numFmtId="3" fontId="30" fillId="2" borderId="19" xfId="0" applyNumberFormat="1" applyFont="1" applyFill="1" applyBorder="1" applyAlignment="1">
      <alignment vertical="center"/>
    </xf>
    <xf numFmtId="9" fontId="4" fillId="0" borderId="0" xfId="1" applyFont="1" applyFill="1"/>
    <xf numFmtId="168" fontId="22" fillId="2" borderId="19" xfId="0" applyNumberFormat="1" applyFont="1" applyFill="1" applyBorder="1" applyAlignment="1">
      <alignment vertical="center"/>
    </xf>
    <xf numFmtId="10" fontId="0" fillId="0" borderId="0" xfId="1" applyNumberFormat="1" applyFont="1"/>
    <xf numFmtId="10" fontId="0" fillId="0" borderId="0" xfId="0" applyNumberFormat="1"/>
    <xf numFmtId="168" fontId="4" fillId="0" borderId="0" xfId="0" applyNumberFormat="1" applyFont="1" applyAlignment="1">
      <alignment horizontal="right" vertical="center"/>
    </xf>
    <xf numFmtId="10" fontId="4" fillId="0" borderId="0" xfId="0" applyNumberFormat="1" applyFont="1" applyAlignment="1">
      <alignment horizontal="right" vertical="center"/>
    </xf>
    <xf numFmtId="1" fontId="4" fillId="2" borderId="4" xfId="0" applyNumberFormat="1" applyFont="1" applyFill="1" applyBorder="1"/>
    <xf numFmtId="164" fontId="4" fillId="6" borderId="0" xfId="0" applyNumberFormat="1" applyFont="1" applyFill="1"/>
    <xf numFmtId="0" fontId="0" fillId="0" borderId="0" xfId="0" applyAlignment="1">
      <alignment horizontal="right" vertical="center" textRotation="90"/>
    </xf>
    <xf numFmtId="0" fontId="3" fillId="0" borderId="0" xfId="0" applyFont="1" applyAlignment="1">
      <alignment horizontal="center"/>
    </xf>
    <xf numFmtId="0" fontId="0" fillId="0" borderId="0" xfId="0" applyAlignment="1">
      <alignment horizontal="left" wrapText="1"/>
    </xf>
    <xf numFmtId="0" fontId="0" fillId="0" borderId="0" xfId="0" applyAlignment="1">
      <alignment horizontal="left" vertical="top" wrapText="1"/>
    </xf>
    <xf numFmtId="9" fontId="0" fillId="0" borderId="0" xfId="1" applyFont="1" applyFill="1"/>
    <xf numFmtId="9" fontId="0" fillId="4" borderId="0" xfId="1" applyNumberFormat="1" applyFont="1" applyFill="1"/>
    <xf numFmtId="2" fontId="0" fillId="0" borderId="0" xfId="0" applyNumberFormat="1" applyFill="1"/>
    <xf numFmtId="2" fontId="0" fillId="0" borderId="4" xfId="0" applyNumberFormat="1" applyFill="1" applyBorder="1"/>
  </cellXfs>
  <cellStyles count="3">
    <cellStyle name="Hyperlink" xfId="2" builtinId="8"/>
    <cellStyle name="Normal" xfId="0" builtinId="0"/>
    <cellStyle name="Percent" xfId="1" builtinId="5"/>
  </cellStyles>
  <dxfs count="5">
    <dxf>
      <fill>
        <patternFill>
          <bgColor theme="9" tint="0.79998168889431442"/>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batteries!$C$55</c:f>
              <c:strCache>
                <c:ptCount val="1"/>
                <c:pt idx="0">
                  <c:v>Battery ageing</c:v>
                </c:pt>
              </c:strCache>
            </c:strRef>
          </c:tx>
          <c:spPr>
            <a:solidFill>
              <a:schemeClr val="accent1"/>
            </a:solidFill>
            <a:ln>
              <a:noFill/>
            </a:ln>
            <a:effectLst/>
          </c:spPr>
          <c:invertIfNegative val="0"/>
          <c:cat>
            <c:numRef>
              <c:f>batteries!$E$1:$K$1</c:f>
              <c:numCache>
                <c:formatCode>General</c:formatCode>
                <c:ptCount val="7"/>
                <c:pt idx="0">
                  <c:v>2020</c:v>
                </c:pt>
                <c:pt idx="1">
                  <c:v>2025</c:v>
                </c:pt>
                <c:pt idx="2">
                  <c:v>2030</c:v>
                </c:pt>
                <c:pt idx="3">
                  <c:v>2035</c:v>
                </c:pt>
                <c:pt idx="4">
                  <c:v>2040</c:v>
                </c:pt>
                <c:pt idx="5">
                  <c:v>2045</c:v>
                </c:pt>
                <c:pt idx="6">
                  <c:v>2050</c:v>
                </c:pt>
              </c:numCache>
            </c:numRef>
          </c:cat>
          <c:val>
            <c:numRef>
              <c:f>batteries!$E$55:$K$55</c:f>
              <c:numCache>
                <c:formatCode>0.00</c:formatCode>
                <c:ptCount val="7"/>
                <c:pt idx="0">
                  <c:v>0.24031586196475163</c:v>
                </c:pt>
                <c:pt idx="1">
                  <c:v>0.13401428825598843</c:v>
                </c:pt>
                <c:pt idx="2">
                  <c:v>7.4853615064411294E-2</c:v>
                </c:pt>
                <c:pt idx="3">
                  <c:v>4.65947383464375E-2</c:v>
                </c:pt>
                <c:pt idx="4">
                  <c:v>3.1100908536687216E-2</c:v>
                </c:pt>
                <c:pt idx="5">
                  <c:v>2.1625512175224435E-2</c:v>
                </c:pt>
                <c:pt idx="6">
                  <c:v>1.5585481178308247E-2</c:v>
                </c:pt>
              </c:numCache>
            </c:numRef>
          </c:val>
          <c:extLst>
            <c:ext xmlns:c16="http://schemas.microsoft.com/office/drawing/2014/chart" uri="{C3380CC4-5D6E-409C-BE32-E72D297353CC}">
              <c16:uniqueId val="{00000000-245F-4706-9D39-5AF4C0E4E9C7}"/>
            </c:ext>
          </c:extLst>
        </c:ser>
        <c:ser>
          <c:idx val="2"/>
          <c:order val="1"/>
          <c:tx>
            <c:strRef>
              <c:f>batteries!$C$56</c:f>
              <c:strCache>
                <c:ptCount val="1"/>
                <c:pt idx="0">
                  <c:v>Capital interest</c:v>
                </c:pt>
              </c:strCache>
            </c:strRef>
          </c:tx>
          <c:spPr>
            <a:solidFill>
              <a:schemeClr val="accent2"/>
            </a:solidFill>
            <a:ln>
              <a:noFill/>
            </a:ln>
            <a:effectLst/>
          </c:spPr>
          <c:invertIfNegative val="0"/>
          <c:val>
            <c:numRef>
              <c:f>batteries!$E$56:$K$56</c:f>
              <c:numCache>
                <c:formatCode>0.00</c:formatCode>
                <c:ptCount val="7"/>
                <c:pt idx="0">
                  <c:v>4.2637170291560091E-2</c:v>
                </c:pt>
                <c:pt idx="1">
                  <c:v>2.4886958198706111E-2</c:v>
                </c:pt>
                <c:pt idx="2">
                  <c:v>1.6869276154814112E-2</c:v>
                </c:pt>
                <c:pt idx="3">
                  <c:v>1.2246740240514517E-2</c:v>
                </c:pt>
                <c:pt idx="4">
                  <c:v>9.2691903334436495E-3</c:v>
                </c:pt>
                <c:pt idx="5">
                  <c:v>7.2407958497448834E-3</c:v>
                </c:pt>
                <c:pt idx="6">
                  <c:v>5.8159878961684588E-3</c:v>
                </c:pt>
              </c:numCache>
            </c:numRef>
          </c:val>
          <c:extLst>
            <c:ext xmlns:c16="http://schemas.microsoft.com/office/drawing/2014/chart" uri="{C3380CC4-5D6E-409C-BE32-E72D297353CC}">
              <c16:uniqueId val="{00000002-245F-4706-9D39-5AF4C0E4E9C7}"/>
            </c:ext>
          </c:extLst>
        </c:ser>
        <c:ser>
          <c:idx val="1"/>
          <c:order val="2"/>
          <c:tx>
            <c:strRef>
              <c:f>batteries!$C$54</c:f>
              <c:strCache>
                <c:ptCount val="1"/>
                <c:pt idx="0">
                  <c:v>Lost cargo capacity</c:v>
                </c:pt>
              </c:strCache>
            </c:strRef>
          </c:tx>
          <c:spPr>
            <a:solidFill>
              <a:schemeClr val="accent3"/>
            </a:solidFill>
            <a:ln>
              <a:noFill/>
            </a:ln>
            <a:effectLst/>
          </c:spPr>
          <c:invertIfNegative val="0"/>
          <c:val>
            <c:numRef>
              <c:f>batteries!$E$54:$K$54</c:f>
              <c:numCache>
                <c:formatCode>0.00</c:formatCode>
                <c:ptCount val="7"/>
                <c:pt idx="0">
                  <c:v>8.4142613223529408E-2</c:v>
                </c:pt>
                <c:pt idx="1">
                  <c:v>5.5490827645196576E-2</c:v>
                </c:pt>
                <c:pt idx="2">
                  <c:v>4.1994080483556434E-2</c:v>
                </c:pt>
                <c:pt idx="3">
                  <c:v>3.3542490053994178E-2</c:v>
                </c:pt>
                <c:pt idx="4">
                  <c:v>2.7448472877763724E-2</c:v>
                </c:pt>
                <c:pt idx="5">
                  <c:v>2.2721374960739338E-2</c:v>
                </c:pt>
                <c:pt idx="6">
                  <c:v>1.891410123514586E-2</c:v>
                </c:pt>
              </c:numCache>
            </c:numRef>
          </c:val>
          <c:extLst>
            <c:ext xmlns:c16="http://schemas.microsoft.com/office/drawing/2014/chart" uri="{C3380CC4-5D6E-409C-BE32-E72D297353CC}">
              <c16:uniqueId val="{00000001-245F-4706-9D39-5AF4C0E4E9C7}"/>
            </c:ext>
          </c:extLst>
        </c:ser>
        <c:ser>
          <c:idx val="3"/>
          <c:order val="3"/>
          <c:tx>
            <c:strRef>
              <c:f>batteries!$C$69</c:f>
              <c:strCache>
                <c:ptCount val="1"/>
                <c:pt idx="0">
                  <c:v>Cost of lost time</c:v>
                </c:pt>
              </c:strCache>
            </c:strRef>
          </c:tx>
          <c:spPr>
            <a:solidFill>
              <a:schemeClr val="accent4"/>
            </a:solidFill>
            <a:ln>
              <a:noFill/>
            </a:ln>
            <a:effectLst/>
          </c:spPr>
          <c:invertIfNegative val="0"/>
          <c:val>
            <c:numRef>
              <c:f>batteries!$E$69:$K$69</c:f>
              <c:numCache>
                <c:formatCode>0.00</c:formatCode>
                <c:ptCount val="7"/>
                <c:pt idx="0">
                  <c:v>2.542707692307692E-2</c:v>
                </c:pt>
                <c:pt idx="1">
                  <c:v>0</c:v>
                </c:pt>
                <c:pt idx="2">
                  <c:v>0</c:v>
                </c:pt>
                <c:pt idx="3">
                  <c:v>0</c:v>
                </c:pt>
                <c:pt idx="4">
                  <c:v>0</c:v>
                </c:pt>
                <c:pt idx="5">
                  <c:v>0</c:v>
                </c:pt>
                <c:pt idx="6">
                  <c:v>0</c:v>
                </c:pt>
              </c:numCache>
            </c:numRef>
          </c:val>
          <c:extLst>
            <c:ext xmlns:c16="http://schemas.microsoft.com/office/drawing/2014/chart" uri="{C3380CC4-5D6E-409C-BE32-E72D297353CC}">
              <c16:uniqueId val="{00000001-D1AA-4ABF-B4C3-4B7A7E0B5ADF}"/>
            </c:ext>
          </c:extLst>
        </c:ser>
        <c:ser>
          <c:idx val="4"/>
          <c:order val="4"/>
          <c:tx>
            <c:strRef>
              <c:f>batteries!$C$75</c:f>
              <c:strCache>
                <c:ptCount val="1"/>
                <c:pt idx="0">
                  <c:v>CO₂ (SCC)</c:v>
                </c:pt>
              </c:strCache>
            </c:strRef>
          </c:tx>
          <c:spPr>
            <a:solidFill>
              <a:schemeClr val="accent5"/>
            </a:solidFill>
            <a:ln>
              <a:noFill/>
            </a:ln>
            <a:effectLst/>
          </c:spPr>
          <c:invertIfNegative val="0"/>
          <c:val>
            <c:numRef>
              <c:f>batteries!$E$75:$K$75</c:f>
              <c:numCache>
                <c:formatCode>0.000</c:formatCode>
                <c:ptCount val="7"/>
                <c:pt idx="0">
                  <c:v>9.0825113022095054E-3</c:v>
                </c:pt>
                <c:pt idx="1">
                  <c:v>1.0598861309503615E-2</c:v>
                </c:pt>
                <c:pt idx="2">
                  <c:v>9.2192498701581249E-3</c:v>
                </c:pt>
                <c:pt idx="3">
                  <c:v>8.32304914432885E-3</c:v>
                </c:pt>
                <c:pt idx="4">
                  <c:v>6.6608496931718792E-3</c:v>
                </c:pt>
                <c:pt idx="5">
                  <c:v>5.0318916159587763E-3</c:v>
                </c:pt>
                <c:pt idx="6">
                  <c:v>3.6833128014946361E-3</c:v>
                </c:pt>
              </c:numCache>
            </c:numRef>
          </c:val>
          <c:extLst>
            <c:ext xmlns:c16="http://schemas.microsoft.com/office/drawing/2014/chart" uri="{C3380CC4-5D6E-409C-BE32-E72D297353CC}">
              <c16:uniqueId val="{00000001-9FFE-4C57-BEA8-EDF081304A9C}"/>
            </c:ext>
          </c:extLst>
        </c:ser>
        <c:dLbls>
          <c:showLegendKey val="0"/>
          <c:showVal val="0"/>
          <c:showCatName val="0"/>
          <c:showSerName val="0"/>
          <c:showPercent val="0"/>
          <c:showBubbleSize val="0"/>
        </c:dLbls>
        <c:gapWidth val="80"/>
        <c:overlap val="100"/>
        <c:axId val="194938015"/>
        <c:axId val="194937183"/>
      </c:barChart>
      <c:catAx>
        <c:axId val="194938015"/>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4937183"/>
        <c:crosses val="autoZero"/>
        <c:auto val="1"/>
        <c:lblAlgn val="ctr"/>
        <c:lblOffset val="100"/>
        <c:noMultiLvlLbl val="1"/>
      </c:catAx>
      <c:valAx>
        <c:axId val="194937183"/>
        <c:scaling>
          <c:orientation val="minMax"/>
          <c:max val="0.4"/>
        </c:scaling>
        <c:delete val="0"/>
        <c:axPos val="l"/>
        <c:majorGridlines>
          <c:spPr>
            <a:ln w="9525" cap="flat" cmpd="sng" algn="ctr">
              <a:solidFill>
                <a:schemeClr val="tx1"/>
              </a:solidFill>
              <a:prstDash val="dash"/>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 per km</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4938015"/>
        <c:crosses val="autoZero"/>
        <c:crossBetween val="between"/>
      </c:valAx>
      <c:spPr>
        <a:noFill/>
        <a:ln>
          <a:solidFill>
            <a:schemeClr val="tx1"/>
          </a:solid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batteries!$AC$44</c:f>
              <c:strCache>
                <c:ptCount val="1"/>
                <c:pt idx="0">
                  <c:v>Battery ageing</c:v>
                </c:pt>
              </c:strCache>
            </c:strRef>
          </c:tx>
          <c:spPr>
            <a:solidFill>
              <a:schemeClr val="accent1"/>
            </a:solidFill>
            <a:ln>
              <a:noFill/>
            </a:ln>
            <a:effectLst/>
          </c:spPr>
          <c:invertIfNegative val="0"/>
          <c:cat>
            <c:numRef>
              <c:extLst>
                <c:ext xmlns:c15="http://schemas.microsoft.com/office/drawing/2012/chart" uri="{02D57815-91ED-43cb-92C2-25804820EDAC}">
                  <c15:fullRef>
                    <c15:sqref>batteries!$AD$43:$AN$43</c15:sqref>
                  </c15:fullRef>
                </c:ext>
              </c:extLst>
              <c:f>batteries!$AE$43:$AN$43</c:f>
              <c:numCache>
                <c:formatCode>#,##0</c:formatCode>
                <c:ptCount val="10"/>
                <c:pt idx="0">
                  <c:v>100</c:v>
                </c:pt>
                <c:pt idx="1">
                  <c:v>133.35214321633242</c:v>
                </c:pt>
                <c:pt idx="2">
                  <c:v>177.82794100389242</c:v>
                </c:pt>
                <c:pt idx="3">
                  <c:v>237.13737056616563</c:v>
                </c:pt>
                <c:pt idx="4">
                  <c:v>316.22776601683825</c:v>
                </c:pt>
                <c:pt idx="5">
                  <c:v>421.69650342858256</c:v>
                </c:pt>
                <c:pt idx="6">
                  <c:v>562.34132519034927</c:v>
                </c:pt>
                <c:pt idx="7">
                  <c:v>749.89420933245651</c:v>
                </c:pt>
                <c:pt idx="8">
                  <c:v>1000</c:v>
                </c:pt>
                <c:pt idx="9">
                  <c:v>1333.5214321633246</c:v>
                </c:pt>
              </c:numCache>
            </c:numRef>
          </c:cat>
          <c:val>
            <c:numRef>
              <c:extLst>
                <c:ext xmlns:c15="http://schemas.microsoft.com/office/drawing/2012/chart" uri="{02D57815-91ED-43cb-92C2-25804820EDAC}">
                  <c15:fullRef>
                    <c15:sqref>batteries!$AD$44:$AN$44</c15:sqref>
                  </c15:fullRef>
                </c:ext>
              </c:extLst>
              <c:f>batteries!$AE$44:$AN$44</c:f>
              <c:numCache>
                <c:formatCode>0</c:formatCode>
                <c:ptCount val="10"/>
                <c:pt idx="0">
                  <c:v>14.75240957773287</c:v>
                </c:pt>
                <c:pt idx="1">
                  <c:v>14.75240957773287</c:v>
                </c:pt>
                <c:pt idx="2">
                  <c:v>15.418746061055696</c:v>
                </c:pt>
                <c:pt idx="3">
                  <c:v>16.483296262920948</c:v>
                </c:pt>
                <c:pt idx="4">
                  <c:v>17.865959342823846</c:v>
                </c:pt>
                <c:pt idx="5">
                  <c:v>19.644308049362884</c:v>
                </c:pt>
                <c:pt idx="6">
                  <c:v>21.909762403031298</c:v>
                </c:pt>
                <c:pt idx="7">
                  <c:v>24.782290906658222</c:v>
                </c:pt>
                <c:pt idx="8">
                  <c:v>28.445091607783805</c:v>
                </c:pt>
                <c:pt idx="9">
                  <c:v>33.191342476208163</c:v>
                </c:pt>
              </c:numCache>
            </c:numRef>
          </c:val>
          <c:extLst>
            <c:ext xmlns:c16="http://schemas.microsoft.com/office/drawing/2014/chart" uri="{C3380CC4-5D6E-409C-BE32-E72D297353CC}">
              <c16:uniqueId val="{00000000-9974-4C5E-8213-E7507E495F3E}"/>
            </c:ext>
          </c:extLst>
        </c:ser>
        <c:ser>
          <c:idx val="1"/>
          <c:order val="1"/>
          <c:tx>
            <c:strRef>
              <c:f>batteries!$AC$45</c:f>
              <c:strCache>
                <c:ptCount val="1"/>
                <c:pt idx="0">
                  <c:v>Capital interest</c:v>
                </c:pt>
              </c:strCache>
            </c:strRef>
          </c:tx>
          <c:spPr>
            <a:solidFill>
              <a:schemeClr val="accent2"/>
            </a:solidFill>
            <a:ln>
              <a:noFill/>
            </a:ln>
            <a:effectLst/>
          </c:spPr>
          <c:invertIfNegative val="0"/>
          <c:cat>
            <c:numRef>
              <c:extLst>
                <c:ext xmlns:c15="http://schemas.microsoft.com/office/drawing/2012/chart" uri="{02D57815-91ED-43cb-92C2-25804820EDAC}">
                  <c15:fullRef>
                    <c15:sqref>batteries!$AD$43:$AN$43</c15:sqref>
                  </c15:fullRef>
                </c:ext>
              </c:extLst>
              <c:f>batteries!$AE$43:$AN$43</c:f>
              <c:numCache>
                <c:formatCode>#,##0</c:formatCode>
                <c:ptCount val="10"/>
                <c:pt idx="0">
                  <c:v>100</c:v>
                </c:pt>
                <c:pt idx="1">
                  <c:v>133.35214321633242</c:v>
                </c:pt>
                <c:pt idx="2">
                  <c:v>177.82794100389242</c:v>
                </c:pt>
                <c:pt idx="3">
                  <c:v>237.13737056616563</c:v>
                </c:pt>
                <c:pt idx="4">
                  <c:v>316.22776601683825</c:v>
                </c:pt>
                <c:pt idx="5">
                  <c:v>421.69650342858256</c:v>
                </c:pt>
                <c:pt idx="6">
                  <c:v>562.34132519034927</c:v>
                </c:pt>
                <c:pt idx="7">
                  <c:v>749.89420933245651</c:v>
                </c:pt>
                <c:pt idx="8">
                  <c:v>1000</c:v>
                </c:pt>
                <c:pt idx="9">
                  <c:v>1333.5214321633246</c:v>
                </c:pt>
              </c:numCache>
            </c:numRef>
          </c:cat>
          <c:val>
            <c:numRef>
              <c:extLst>
                <c:ext xmlns:c15="http://schemas.microsoft.com/office/drawing/2012/chart" uri="{02D57815-91ED-43cb-92C2-25804820EDAC}">
                  <c15:fullRef>
                    <c15:sqref>batteries!$AD$45:$AN$45</c15:sqref>
                  </c15:fullRef>
                </c:ext>
              </c:extLst>
              <c:f>batteries!$AE$45:$AN$45</c:f>
              <c:numCache>
                <c:formatCode>0</c:formatCode>
                <c:ptCount val="10"/>
                <c:pt idx="0">
                  <c:v>0.86086956521739155</c:v>
                </c:pt>
                <c:pt idx="1">
                  <c:v>0.86086956521739155</c:v>
                </c:pt>
                <c:pt idx="2">
                  <c:v>1.0831543147400664</c:v>
                </c:pt>
                <c:pt idx="3">
                  <c:v>1.4444094930460565</c:v>
                </c:pt>
                <c:pt idx="4">
                  <c:v>1.9261510157970791</c:v>
                </c:pt>
                <c:pt idx="5">
                  <c:v>2.5685636611485618</c:v>
                </c:pt>
                <c:pt idx="6">
                  <c:v>3.4252346920174994</c:v>
                </c:pt>
                <c:pt idx="7">
                  <c:v>4.5676238719946793</c:v>
                </c:pt>
                <c:pt idx="8">
                  <c:v>6.0910243273657265</c:v>
                </c:pt>
                <c:pt idx="9">
                  <c:v>8.1225114843703974</c:v>
                </c:pt>
              </c:numCache>
            </c:numRef>
          </c:val>
          <c:extLst>
            <c:ext xmlns:c16="http://schemas.microsoft.com/office/drawing/2014/chart" uri="{C3380CC4-5D6E-409C-BE32-E72D297353CC}">
              <c16:uniqueId val="{00000001-9974-4C5E-8213-E7507E495F3E}"/>
            </c:ext>
          </c:extLst>
        </c:ser>
        <c:ser>
          <c:idx val="2"/>
          <c:order val="2"/>
          <c:tx>
            <c:strRef>
              <c:f>batteries!$AC$46</c:f>
              <c:strCache>
                <c:ptCount val="1"/>
                <c:pt idx="0">
                  <c:v>Lost cargo capacity</c:v>
                </c:pt>
              </c:strCache>
            </c:strRef>
          </c:tx>
          <c:spPr>
            <a:solidFill>
              <a:schemeClr val="accent3"/>
            </a:solidFill>
            <a:ln>
              <a:noFill/>
            </a:ln>
            <a:effectLst/>
          </c:spPr>
          <c:invertIfNegative val="0"/>
          <c:cat>
            <c:numRef>
              <c:extLst>
                <c:ext xmlns:c15="http://schemas.microsoft.com/office/drawing/2012/chart" uri="{02D57815-91ED-43cb-92C2-25804820EDAC}">
                  <c15:fullRef>
                    <c15:sqref>batteries!$AD$43:$AN$43</c15:sqref>
                  </c15:fullRef>
                </c:ext>
              </c:extLst>
              <c:f>batteries!$AE$43:$AN$43</c:f>
              <c:numCache>
                <c:formatCode>#,##0</c:formatCode>
                <c:ptCount val="10"/>
                <c:pt idx="0">
                  <c:v>100</c:v>
                </c:pt>
                <c:pt idx="1">
                  <c:v>133.35214321633242</c:v>
                </c:pt>
                <c:pt idx="2">
                  <c:v>177.82794100389242</c:v>
                </c:pt>
                <c:pt idx="3">
                  <c:v>237.13737056616563</c:v>
                </c:pt>
                <c:pt idx="4">
                  <c:v>316.22776601683825</c:v>
                </c:pt>
                <c:pt idx="5">
                  <c:v>421.69650342858256</c:v>
                </c:pt>
                <c:pt idx="6">
                  <c:v>562.34132519034927</c:v>
                </c:pt>
                <c:pt idx="7">
                  <c:v>749.89420933245651</c:v>
                </c:pt>
                <c:pt idx="8">
                  <c:v>1000</c:v>
                </c:pt>
                <c:pt idx="9">
                  <c:v>1333.5214321633246</c:v>
                </c:pt>
              </c:numCache>
            </c:numRef>
          </c:cat>
          <c:val>
            <c:numRef>
              <c:extLst>
                <c:ext xmlns:c15="http://schemas.microsoft.com/office/drawing/2012/chart" uri="{02D57815-91ED-43cb-92C2-25804820EDAC}">
                  <c15:fullRef>
                    <c15:sqref>batteries!$AD$46:$AN$46</c15:sqref>
                  </c15:fullRef>
                </c:ext>
              </c:extLst>
              <c:f>batteries!$AE$46:$AN$46</c:f>
              <c:numCache>
                <c:formatCode>0</c:formatCode>
                <c:ptCount val="10"/>
                <c:pt idx="0">
                  <c:v>1.6988888888888891</c:v>
                </c:pt>
                <c:pt idx="1">
                  <c:v>1.6988888888888891</c:v>
                </c:pt>
                <c:pt idx="2">
                  <c:v>2.1375582371753037</c:v>
                </c:pt>
                <c:pt idx="3">
                  <c:v>2.8504797217705207</c:v>
                </c:pt>
                <c:pt idx="4">
                  <c:v>3.8011758009279402</c:v>
                </c:pt>
                <c:pt idx="5">
                  <c:v>5.0689493979579954</c:v>
                </c:pt>
                <c:pt idx="6">
                  <c:v>6.7595526607283629</c:v>
                </c:pt>
                <c:pt idx="7">
                  <c:v>9.0140083449178974</c:v>
                </c:pt>
                <c:pt idx="8">
                  <c:v>12.020373317647056</c:v>
                </c:pt>
                <c:pt idx="9">
                  <c:v>16.029425441686517</c:v>
                </c:pt>
              </c:numCache>
            </c:numRef>
          </c:val>
          <c:extLst>
            <c:ext xmlns:c16="http://schemas.microsoft.com/office/drawing/2014/chart" uri="{C3380CC4-5D6E-409C-BE32-E72D297353CC}">
              <c16:uniqueId val="{00000002-9974-4C5E-8213-E7507E495F3E}"/>
            </c:ext>
          </c:extLst>
        </c:ser>
        <c:ser>
          <c:idx val="3"/>
          <c:order val="3"/>
          <c:tx>
            <c:strRef>
              <c:f>batteries!$AC$47</c:f>
              <c:strCache>
                <c:ptCount val="1"/>
                <c:pt idx="0">
                  <c:v>Lost time</c:v>
                </c:pt>
              </c:strCache>
            </c:strRef>
          </c:tx>
          <c:spPr>
            <a:solidFill>
              <a:schemeClr val="accent4"/>
            </a:solidFill>
            <a:ln>
              <a:noFill/>
            </a:ln>
            <a:effectLst/>
          </c:spPr>
          <c:invertIfNegative val="0"/>
          <c:cat>
            <c:numRef>
              <c:extLst>
                <c:ext xmlns:c15="http://schemas.microsoft.com/office/drawing/2012/chart" uri="{02D57815-91ED-43cb-92C2-25804820EDAC}">
                  <c15:fullRef>
                    <c15:sqref>batteries!$AD$43:$AN$43</c15:sqref>
                  </c15:fullRef>
                </c:ext>
              </c:extLst>
              <c:f>batteries!$AE$43:$AN$43</c:f>
              <c:numCache>
                <c:formatCode>#,##0</c:formatCode>
                <c:ptCount val="10"/>
                <c:pt idx="0">
                  <c:v>100</c:v>
                </c:pt>
                <c:pt idx="1">
                  <c:v>133.35214321633242</c:v>
                </c:pt>
                <c:pt idx="2">
                  <c:v>177.82794100389242</c:v>
                </c:pt>
                <c:pt idx="3">
                  <c:v>237.13737056616563</c:v>
                </c:pt>
                <c:pt idx="4">
                  <c:v>316.22776601683825</c:v>
                </c:pt>
                <c:pt idx="5">
                  <c:v>421.69650342858256</c:v>
                </c:pt>
                <c:pt idx="6">
                  <c:v>562.34132519034927</c:v>
                </c:pt>
                <c:pt idx="7">
                  <c:v>749.89420933245651</c:v>
                </c:pt>
                <c:pt idx="8">
                  <c:v>1000</c:v>
                </c:pt>
                <c:pt idx="9">
                  <c:v>1333.5214321633246</c:v>
                </c:pt>
              </c:numCache>
            </c:numRef>
          </c:cat>
          <c:val>
            <c:numRef>
              <c:extLst>
                <c:ext xmlns:c15="http://schemas.microsoft.com/office/drawing/2012/chart" uri="{02D57815-91ED-43cb-92C2-25804820EDAC}">
                  <c15:fullRef>
                    <c15:sqref>batteries!$AD$47:$AN$47</c15:sqref>
                  </c15:fullRef>
                </c:ext>
              </c:extLst>
              <c:f>batteries!$AE$47:$AN$47</c:f>
              <c:numCache>
                <c:formatCode>0</c:formatCode>
                <c:ptCount val="10"/>
                <c:pt idx="0">
                  <c:v>15.46269328621494</c:v>
                </c:pt>
                <c:pt idx="1">
                  <c:v>15.46269328621494</c:v>
                </c:pt>
                <c:pt idx="2">
                  <c:v>11.53198639398445</c:v>
                </c:pt>
                <c:pt idx="3">
                  <c:v>8.1972290648246577</c:v>
                </c:pt>
                <c:pt idx="4">
                  <c:v>5.9307297004809287</c:v>
                </c:pt>
                <c:pt idx="5">
                  <c:v>4.3385071469555188</c:v>
                </c:pt>
                <c:pt idx="6">
                  <c:v>3.1968271071570284</c:v>
                </c:pt>
                <c:pt idx="7">
                  <c:v>2.3672263138557108</c:v>
                </c:pt>
                <c:pt idx="8">
                  <c:v>1.7589600000000003</c:v>
                </c:pt>
                <c:pt idx="9">
                  <c:v>1.3101951111003829</c:v>
                </c:pt>
              </c:numCache>
            </c:numRef>
          </c:val>
          <c:extLst>
            <c:ext xmlns:c16="http://schemas.microsoft.com/office/drawing/2014/chart" uri="{C3380CC4-5D6E-409C-BE32-E72D297353CC}">
              <c16:uniqueId val="{00000003-9974-4C5E-8213-E7507E495F3E}"/>
            </c:ext>
          </c:extLst>
        </c:ser>
        <c:ser>
          <c:idx val="4"/>
          <c:order val="4"/>
          <c:tx>
            <c:strRef>
              <c:f>batteries!$AC$48</c:f>
              <c:strCache>
                <c:ptCount val="1"/>
                <c:pt idx="0">
                  <c:v>CO₂ (SCC)</c:v>
                </c:pt>
              </c:strCache>
            </c:strRef>
          </c:tx>
          <c:spPr>
            <a:solidFill>
              <a:schemeClr val="accent5"/>
            </a:solidFill>
            <a:ln>
              <a:noFill/>
            </a:ln>
            <a:effectLst/>
          </c:spPr>
          <c:invertIfNegative val="0"/>
          <c:cat>
            <c:numRef>
              <c:extLst>
                <c:ext xmlns:c15="http://schemas.microsoft.com/office/drawing/2012/chart" uri="{02D57815-91ED-43cb-92C2-25804820EDAC}">
                  <c15:fullRef>
                    <c15:sqref>batteries!$AD$43:$AN$43</c15:sqref>
                  </c15:fullRef>
                </c:ext>
              </c:extLst>
              <c:f>batteries!$AE$43:$AN$43</c:f>
              <c:numCache>
                <c:formatCode>#,##0</c:formatCode>
                <c:ptCount val="10"/>
                <c:pt idx="0">
                  <c:v>100</c:v>
                </c:pt>
                <c:pt idx="1">
                  <c:v>133.35214321633242</c:v>
                </c:pt>
                <c:pt idx="2">
                  <c:v>177.82794100389242</c:v>
                </c:pt>
                <c:pt idx="3">
                  <c:v>237.13737056616563</c:v>
                </c:pt>
                <c:pt idx="4">
                  <c:v>316.22776601683825</c:v>
                </c:pt>
                <c:pt idx="5">
                  <c:v>421.69650342858256</c:v>
                </c:pt>
                <c:pt idx="6">
                  <c:v>562.34132519034927</c:v>
                </c:pt>
                <c:pt idx="7">
                  <c:v>749.89420933245651</c:v>
                </c:pt>
                <c:pt idx="8">
                  <c:v>1000</c:v>
                </c:pt>
                <c:pt idx="9">
                  <c:v>1333.5214321633246</c:v>
                </c:pt>
              </c:numCache>
            </c:numRef>
          </c:cat>
          <c:val>
            <c:numRef>
              <c:extLst>
                <c:ext xmlns:c15="http://schemas.microsoft.com/office/drawing/2012/chart" uri="{02D57815-91ED-43cb-92C2-25804820EDAC}">
                  <c15:fullRef>
                    <c15:sqref>batteries!$AD$48:$AN$48</c15:sqref>
                  </c15:fullRef>
                </c:ext>
              </c:extLst>
              <c:f>batteries!$AE$48:$AN$48</c:f>
              <c:numCache>
                <c:formatCode>0</c:formatCode>
                <c:ptCount val="10"/>
                <c:pt idx="0">
                  <c:v>0.52414142800590091</c:v>
                </c:pt>
                <c:pt idx="1">
                  <c:v>0.52414142800590091</c:v>
                </c:pt>
                <c:pt idx="2">
                  <c:v>0.54923268756158972</c:v>
                </c:pt>
                <c:pt idx="3">
                  <c:v>0.5900107772154084</c:v>
                </c:pt>
                <c:pt idx="4">
                  <c:v>0.6443892337314534</c:v>
                </c:pt>
                <c:pt idx="5">
                  <c:v>0.71690407094356035</c:v>
                </c:pt>
                <c:pt idx="6">
                  <c:v>0.81360416051573947</c:v>
                </c:pt>
                <c:pt idx="7">
                  <c:v>0.94255580245235404</c:v>
                </c:pt>
                <c:pt idx="8">
                  <c:v>1.1145155806874794</c:v>
                </c:pt>
                <c:pt idx="9">
                  <c:v>1.3438276304340726</c:v>
                </c:pt>
              </c:numCache>
            </c:numRef>
          </c:val>
          <c:extLst>
            <c:ext xmlns:c16="http://schemas.microsoft.com/office/drawing/2014/chart" uri="{C3380CC4-5D6E-409C-BE32-E72D297353CC}">
              <c16:uniqueId val="{00000004-9974-4C5E-8213-E7507E495F3E}"/>
            </c:ext>
          </c:extLst>
        </c:ser>
        <c:dLbls>
          <c:showLegendKey val="0"/>
          <c:showVal val="0"/>
          <c:showCatName val="0"/>
          <c:showSerName val="0"/>
          <c:showPercent val="0"/>
          <c:showBubbleSize val="0"/>
        </c:dLbls>
        <c:gapWidth val="80"/>
        <c:overlap val="100"/>
        <c:axId val="1376024112"/>
        <c:axId val="1376012048"/>
      </c:barChart>
      <c:catAx>
        <c:axId val="1376024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Minimum usable range [km]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012048"/>
        <c:crosses val="autoZero"/>
        <c:auto val="1"/>
        <c:lblAlgn val="ctr"/>
        <c:lblOffset val="100"/>
        <c:noMultiLvlLbl val="0"/>
      </c:catAx>
      <c:valAx>
        <c:axId val="1376012048"/>
        <c:scaling>
          <c:orientation val="minMax"/>
          <c:max val="65"/>
          <c:min val="0"/>
        </c:scaling>
        <c:delete val="0"/>
        <c:axPos val="l"/>
        <c:majorGridlines>
          <c:spPr>
            <a:ln w="9525" cap="flat" cmpd="sng" algn="ctr">
              <a:solidFill>
                <a:schemeClr val="bg1">
                  <a:lumMod val="65000"/>
                </a:schemeClr>
              </a:solidFill>
              <a:prstDash val="dash"/>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Levelized</a:t>
                </a:r>
                <a:r>
                  <a:rPr lang="en-US" baseline="0"/>
                  <a:t> cost [€c/km]</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024112"/>
        <c:crosses val="autoZero"/>
        <c:crossBetween val="between"/>
      </c:valAx>
      <c:spPr>
        <a:solidFill>
          <a:schemeClr val="bg1"/>
        </a:solidFill>
        <a:ln>
          <a:solidFill>
            <a:schemeClr val="tx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€/kWh,</a:t>
            </a:r>
            <a:r>
              <a:rPr lang="en-US" baseline="0"/>
              <a:t> infra+grid+energy</a:t>
            </a:r>
            <a:br>
              <a:rPr lang="en-US" baseline="0"/>
            </a:br>
            <a:r>
              <a:rPr lang="en-US" baseline="0"/>
              <a:t>(excl. battery+time+weight)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infra!$R$85</c:f>
              <c:strCache>
                <c:ptCount val="1"/>
                <c:pt idx="0">
                  <c:v>depot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infra!$D$86:$D$93</c:f>
              <c:numCache>
                <c:formatCode>General</c:formatCode>
                <c:ptCount val="8"/>
                <c:pt idx="0">
                  <c:v>5</c:v>
                </c:pt>
                <c:pt idx="1">
                  <c:v>10</c:v>
                </c:pt>
                <c:pt idx="2">
                  <c:v>20</c:v>
                </c:pt>
                <c:pt idx="3">
                  <c:v>50</c:v>
                </c:pt>
                <c:pt idx="4">
                  <c:v>100</c:v>
                </c:pt>
                <c:pt idx="5">
                  <c:v>200</c:v>
                </c:pt>
                <c:pt idx="6">
                  <c:v>500</c:v>
                </c:pt>
                <c:pt idx="7">
                  <c:v>1000</c:v>
                </c:pt>
              </c:numCache>
            </c:numRef>
          </c:xVal>
          <c:yVal>
            <c:numRef>
              <c:f>infra!$R$86:$R$93</c:f>
              <c:numCache>
                <c:formatCode>0.000</c:formatCode>
                <c:ptCount val="8"/>
                <c:pt idx="0">
                  <c:v>0.15628993097384247</c:v>
                </c:pt>
                <c:pt idx="1">
                  <c:v>0.15466566482902838</c:v>
                </c:pt>
                <c:pt idx="2">
                  <c:v>0.15385353175662134</c:v>
                </c:pt>
                <c:pt idx="3">
                  <c:v>0.1533662519131771</c:v>
                </c:pt>
                <c:pt idx="4">
                  <c:v>0.15320382529869569</c:v>
                </c:pt>
                <c:pt idx="5">
                  <c:v>0.15312261199145497</c:v>
                </c:pt>
                <c:pt idx="6">
                  <c:v>0.15307388400711056</c:v>
                </c:pt>
                <c:pt idx="7">
                  <c:v>0.15305764134566241</c:v>
                </c:pt>
              </c:numCache>
            </c:numRef>
          </c:yVal>
          <c:smooth val="0"/>
          <c:extLst>
            <c:ext xmlns:c16="http://schemas.microsoft.com/office/drawing/2014/chart" uri="{C3380CC4-5D6E-409C-BE32-E72D297353CC}">
              <c16:uniqueId val="{00000000-90C0-4973-8A2B-47D2674A5C57}"/>
            </c:ext>
          </c:extLst>
        </c:ser>
        <c:ser>
          <c:idx val="1"/>
          <c:order val="1"/>
          <c:tx>
            <c:strRef>
              <c:f>infra!$S$85</c:f>
              <c:strCache>
                <c:ptCount val="1"/>
                <c:pt idx="0">
                  <c:v>destination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infra!$D$86:$D$93</c:f>
              <c:numCache>
                <c:formatCode>General</c:formatCode>
                <c:ptCount val="8"/>
                <c:pt idx="0">
                  <c:v>5</c:v>
                </c:pt>
                <c:pt idx="1">
                  <c:v>10</c:v>
                </c:pt>
                <c:pt idx="2">
                  <c:v>20</c:v>
                </c:pt>
                <c:pt idx="3">
                  <c:v>50</c:v>
                </c:pt>
                <c:pt idx="4">
                  <c:v>100</c:v>
                </c:pt>
                <c:pt idx="5">
                  <c:v>200</c:v>
                </c:pt>
                <c:pt idx="6">
                  <c:v>500</c:v>
                </c:pt>
                <c:pt idx="7">
                  <c:v>1000</c:v>
                </c:pt>
              </c:numCache>
            </c:numRef>
          </c:xVal>
          <c:yVal>
            <c:numRef>
              <c:f>infra!$S$86:$S$93</c:f>
              <c:numCache>
                <c:formatCode>0.000</c:formatCode>
                <c:ptCount val="8"/>
                <c:pt idx="0">
                  <c:v>0.27602668041949613</c:v>
                </c:pt>
                <c:pt idx="1">
                  <c:v>0.27497645210899385</c:v>
                </c:pt>
                <c:pt idx="2">
                  <c:v>0.26027325576196186</c:v>
                </c:pt>
                <c:pt idx="3">
                  <c:v>0.25145133795374269</c:v>
                </c:pt>
                <c:pt idx="4">
                  <c:v>0.25134631512269245</c:v>
                </c:pt>
                <c:pt idx="5">
                  <c:v>0.24987599548798925</c:v>
                </c:pt>
                <c:pt idx="6">
                  <c:v>0.24899380370716731</c:v>
                </c:pt>
                <c:pt idx="7">
                  <c:v>0.24869973978022666</c:v>
                </c:pt>
              </c:numCache>
            </c:numRef>
          </c:yVal>
          <c:smooth val="0"/>
          <c:extLst>
            <c:ext xmlns:c16="http://schemas.microsoft.com/office/drawing/2014/chart" uri="{C3380CC4-5D6E-409C-BE32-E72D297353CC}">
              <c16:uniqueId val="{00000001-90C0-4973-8A2B-47D2674A5C57}"/>
            </c:ext>
          </c:extLst>
        </c:ser>
        <c:ser>
          <c:idx val="2"/>
          <c:order val="2"/>
          <c:tx>
            <c:strRef>
              <c:f>infra!$T$85</c:f>
              <c:strCache>
                <c:ptCount val="1"/>
                <c:pt idx="0">
                  <c:v>station</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infra!$D$86:$D$93</c:f>
              <c:numCache>
                <c:formatCode>General</c:formatCode>
                <c:ptCount val="8"/>
                <c:pt idx="0">
                  <c:v>5</c:v>
                </c:pt>
                <c:pt idx="1">
                  <c:v>10</c:v>
                </c:pt>
                <c:pt idx="2">
                  <c:v>20</c:v>
                </c:pt>
                <c:pt idx="3">
                  <c:v>50</c:v>
                </c:pt>
                <c:pt idx="4">
                  <c:v>100</c:v>
                </c:pt>
                <c:pt idx="5">
                  <c:v>200</c:v>
                </c:pt>
                <c:pt idx="6">
                  <c:v>500</c:v>
                </c:pt>
                <c:pt idx="7">
                  <c:v>1000</c:v>
                </c:pt>
              </c:numCache>
            </c:numRef>
          </c:xVal>
          <c:yVal>
            <c:numRef>
              <c:f>infra!$T$86:$T$93</c:f>
              <c:numCache>
                <c:formatCode>0.000</c:formatCode>
                <c:ptCount val="8"/>
                <c:pt idx="0">
                  <c:v>0.20625718460546677</c:v>
                </c:pt>
                <c:pt idx="1">
                  <c:v>0.20476555599055049</c:v>
                </c:pt>
                <c:pt idx="2">
                  <c:v>0.20401974168309234</c:v>
                </c:pt>
                <c:pt idx="3">
                  <c:v>0.19104257273332065</c:v>
                </c:pt>
                <c:pt idx="4">
                  <c:v>0.19089340987182904</c:v>
                </c:pt>
                <c:pt idx="5">
                  <c:v>0.19081882844108319</c:v>
                </c:pt>
                <c:pt idx="6">
                  <c:v>0.19014759556437086</c:v>
                </c:pt>
                <c:pt idx="7">
                  <c:v>0.19013267927822172</c:v>
                </c:pt>
              </c:numCache>
            </c:numRef>
          </c:yVal>
          <c:smooth val="0"/>
          <c:extLst>
            <c:ext xmlns:c16="http://schemas.microsoft.com/office/drawing/2014/chart" uri="{C3380CC4-5D6E-409C-BE32-E72D297353CC}">
              <c16:uniqueId val="{00000002-90C0-4973-8A2B-47D2674A5C57}"/>
            </c:ext>
          </c:extLst>
        </c:ser>
        <c:ser>
          <c:idx val="3"/>
          <c:order val="3"/>
          <c:tx>
            <c:strRef>
              <c:f>infra!$H$49</c:f>
              <c:strCache>
                <c:ptCount val="1"/>
                <c:pt idx="0">
                  <c:v>ERS</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infra!$D$96:$D$100</c:f>
              <c:numCache>
                <c:formatCode>General</c:formatCode>
                <c:ptCount val="5"/>
                <c:pt idx="0">
                  <c:v>500</c:v>
                </c:pt>
                <c:pt idx="1">
                  <c:v>1000</c:v>
                </c:pt>
                <c:pt idx="2">
                  <c:v>2000</c:v>
                </c:pt>
                <c:pt idx="3">
                  <c:v>5000</c:v>
                </c:pt>
                <c:pt idx="4">
                  <c:v>10000</c:v>
                </c:pt>
              </c:numCache>
            </c:numRef>
          </c:xVal>
          <c:yVal>
            <c:numRef>
              <c:f>infra!$M$96:$M$100</c:f>
              <c:numCache>
                <c:formatCode>0.000</c:formatCode>
                <c:ptCount val="5"/>
                <c:pt idx="0">
                  <c:v>0.47816095038204326</c:v>
                </c:pt>
                <c:pt idx="1">
                  <c:v>0.32703605388396295</c:v>
                </c:pt>
                <c:pt idx="2">
                  <c:v>0.25147360563492277</c:v>
                </c:pt>
                <c:pt idx="3">
                  <c:v>0.20613613668549879</c:v>
                </c:pt>
                <c:pt idx="4">
                  <c:v>0.18961727276020418</c:v>
                </c:pt>
              </c:numCache>
            </c:numRef>
          </c:yVal>
          <c:smooth val="0"/>
          <c:extLst>
            <c:ext xmlns:c16="http://schemas.microsoft.com/office/drawing/2014/chart" uri="{C3380CC4-5D6E-409C-BE32-E72D297353CC}">
              <c16:uniqueId val="{00000004-90C0-4973-8A2B-47D2674A5C57}"/>
            </c:ext>
          </c:extLst>
        </c:ser>
        <c:dLbls>
          <c:showLegendKey val="0"/>
          <c:showVal val="0"/>
          <c:showCatName val="0"/>
          <c:showSerName val="0"/>
          <c:showPercent val="0"/>
          <c:showBubbleSize val="0"/>
        </c:dLbls>
        <c:axId val="936146400"/>
        <c:axId val="936150976"/>
      </c:scatterChart>
      <c:valAx>
        <c:axId val="936146400"/>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Vehicles per day / AADT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150976"/>
        <c:crosses val="autoZero"/>
        <c:crossBetween val="midCat"/>
      </c:valAx>
      <c:valAx>
        <c:axId val="936150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14640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Assumed ERS lifetime cost/km </a:t>
            </a:r>
          </a:p>
          <a:p>
            <a:pPr>
              <a:defRPr/>
            </a:pPr>
            <a:r>
              <a:rPr lang="en-US"/>
              <a:t>@ 3</a:t>
            </a:r>
            <a:r>
              <a:rPr lang="en-US" baseline="0"/>
              <a:t> MW/km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infra!$T$5</c:f>
              <c:strCache>
                <c:ptCount val="1"/>
                <c:pt idx="0">
                  <c:v>ERS (base)</c:v>
                </c:pt>
              </c:strCache>
            </c:strRef>
          </c:tx>
          <c:spPr>
            <a:solidFill>
              <a:schemeClr val="accent1"/>
            </a:solidFill>
            <a:ln>
              <a:noFill/>
            </a:ln>
            <a:effectLst/>
          </c:spPr>
          <c:cat>
            <c:numRef>
              <c:f>infra!$U$4:$AA$4</c:f>
              <c:numCache>
                <c:formatCode>General</c:formatCode>
                <c:ptCount val="7"/>
                <c:pt idx="0">
                  <c:v>2020</c:v>
                </c:pt>
                <c:pt idx="1">
                  <c:v>2025</c:v>
                </c:pt>
                <c:pt idx="2">
                  <c:v>2030</c:v>
                </c:pt>
                <c:pt idx="3">
                  <c:v>2035</c:v>
                </c:pt>
                <c:pt idx="4">
                  <c:v>2040</c:v>
                </c:pt>
                <c:pt idx="5">
                  <c:v>2045</c:v>
                </c:pt>
                <c:pt idx="6">
                  <c:v>2050</c:v>
                </c:pt>
              </c:numCache>
            </c:numRef>
          </c:cat>
          <c:val>
            <c:numRef>
              <c:f>infra!$U$5:$AA$5</c:f>
              <c:numCache>
                <c:formatCode>#,##0</c:formatCode>
                <c:ptCount val="7"/>
                <c:pt idx="0">
                  <c:v>1500000</c:v>
                </c:pt>
                <c:pt idx="1">
                  <c:v>1426485.07485</c:v>
                </c:pt>
                <c:pt idx="2">
                  <c:v>1356573.1125132064</c:v>
                </c:pt>
                <c:pt idx="3">
                  <c:v>1290087.5319619325</c:v>
                </c:pt>
                <c:pt idx="4">
                  <c:v>1226860.406395846</c:v>
                </c:pt>
                <c:pt idx="5">
                  <c:v>1166732.0390987196</c:v>
                </c:pt>
                <c:pt idx="6">
                  <c:v>1109550.5600824202</c:v>
                </c:pt>
              </c:numCache>
            </c:numRef>
          </c:val>
          <c:extLst>
            <c:ext xmlns:c16="http://schemas.microsoft.com/office/drawing/2014/chart" uri="{C3380CC4-5D6E-409C-BE32-E72D297353CC}">
              <c16:uniqueId val="{00000000-2D84-42B9-85ED-17CBBEB533B9}"/>
            </c:ext>
          </c:extLst>
        </c:ser>
        <c:ser>
          <c:idx val="1"/>
          <c:order val="1"/>
          <c:tx>
            <c:strRef>
              <c:f>infra!$T$6</c:f>
              <c:strCache>
                <c:ptCount val="1"/>
                <c:pt idx="0">
                  <c:v>ERS (power)</c:v>
                </c:pt>
              </c:strCache>
            </c:strRef>
          </c:tx>
          <c:spPr>
            <a:solidFill>
              <a:schemeClr val="accent2"/>
            </a:solidFill>
            <a:ln>
              <a:noFill/>
            </a:ln>
            <a:effectLst/>
          </c:spPr>
          <c:cat>
            <c:numRef>
              <c:f>infra!$U$4:$AA$4</c:f>
              <c:numCache>
                <c:formatCode>General</c:formatCode>
                <c:ptCount val="7"/>
                <c:pt idx="0">
                  <c:v>2020</c:v>
                </c:pt>
                <c:pt idx="1">
                  <c:v>2025</c:v>
                </c:pt>
                <c:pt idx="2">
                  <c:v>2030</c:v>
                </c:pt>
                <c:pt idx="3">
                  <c:v>2035</c:v>
                </c:pt>
                <c:pt idx="4">
                  <c:v>2040</c:v>
                </c:pt>
                <c:pt idx="5">
                  <c:v>2045</c:v>
                </c:pt>
                <c:pt idx="6">
                  <c:v>2050</c:v>
                </c:pt>
              </c:numCache>
            </c:numRef>
          </c:cat>
          <c:val>
            <c:numRef>
              <c:f>infra!$U$6:$AA$6</c:f>
              <c:numCache>
                <c:formatCode>General</c:formatCode>
                <c:ptCount val="7"/>
                <c:pt idx="0">
                  <c:v>2100000</c:v>
                </c:pt>
                <c:pt idx="1">
                  <c:v>1997079.1047899998</c:v>
                </c:pt>
                <c:pt idx="2">
                  <c:v>1899202.357518489</c:v>
                </c:pt>
                <c:pt idx="3">
                  <c:v>1806122.5447467056</c:v>
                </c:pt>
                <c:pt idx="4">
                  <c:v>1717604.5689541842</c:v>
                </c:pt>
                <c:pt idx="5">
                  <c:v>1633424.8547382075</c:v>
                </c:pt>
                <c:pt idx="6">
                  <c:v>1553370.7841153883</c:v>
                </c:pt>
              </c:numCache>
            </c:numRef>
          </c:val>
          <c:extLst>
            <c:ext xmlns:c16="http://schemas.microsoft.com/office/drawing/2014/chart" uri="{C3380CC4-5D6E-409C-BE32-E72D297353CC}">
              <c16:uniqueId val="{00000001-2D84-42B9-85ED-17CBBEB533B9}"/>
            </c:ext>
          </c:extLst>
        </c:ser>
        <c:ser>
          <c:idx val="2"/>
          <c:order val="2"/>
          <c:tx>
            <c:strRef>
              <c:f>infra!$T$7</c:f>
              <c:strCache>
                <c:ptCount val="1"/>
                <c:pt idx="0">
                  <c:v>Grid connections</c:v>
                </c:pt>
              </c:strCache>
            </c:strRef>
          </c:tx>
          <c:spPr>
            <a:solidFill>
              <a:schemeClr val="accent3"/>
            </a:solidFill>
            <a:ln>
              <a:noFill/>
            </a:ln>
            <a:effectLst/>
          </c:spPr>
          <c:cat>
            <c:numRef>
              <c:f>infra!$U$4:$AA$4</c:f>
              <c:numCache>
                <c:formatCode>General</c:formatCode>
                <c:ptCount val="7"/>
                <c:pt idx="0">
                  <c:v>2020</c:v>
                </c:pt>
                <c:pt idx="1">
                  <c:v>2025</c:v>
                </c:pt>
                <c:pt idx="2">
                  <c:v>2030</c:v>
                </c:pt>
                <c:pt idx="3">
                  <c:v>2035</c:v>
                </c:pt>
                <c:pt idx="4">
                  <c:v>2040</c:v>
                </c:pt>
                <c:pt idx="5">
                  <c:v>2045</c:v>
                </c:pt>
                <c:pt idx="6">
                  <c:v>2050</c:v>
                </c:pt>
              </c:numCache>
            </c:numRef>
          </c:cat>
          <c:val>
            <c:numRef>
              <c:f>infra!$U$7:$AA$7</c:f>
              <c:numCache>
                <c:formatCode>#,##0</c:formatCode>
                <c:ptCount val="7"/>
                <c:pt idx="0">
                  <c:v>901500</c:v>
                </c:pt>
                <c:pt idx="1">
                  <c:v>901500</c:v>
                </c:pt>
                <c:pt idx="2">
                  <c:v>901500</c:v>
                </c:pt>
                <c:pt idx="3">
                  <c:v>901500</c:v>
                </c:pt>
                <c:pt idx="4">
                  <c:v>901500</c:v>
                </c:pt>
                <c:pt idx="5">
                  <c:v>901500</c:v>
                </c:pt>
                <c:pt idx="6">
                  <c:v>901500</c:v>
                </c:pt>
              </c:numCache>
            </c:numRef>
          </c:val>
          <c:extLst>
            <c:ext xmlns:c16="http://schemas.microsoft.com/office/drawing/2014/chart" uri="{C3380CC4-5D6E-409C-BE32-E72D297353CC}">
              <c16:uniqueId val="{00000002-2D84-42B9-85ED-17CBBEB533B9}"/>
            </c:ext>
          </c:extLst>
        </c:ser>
        <c:ser>
          <c:idx val="3"/>
          <c:order val="3"/>
          <c:tx>
            <c:strRef>
              <c:f>infra!$T$8</c:f>
              <c:strCache>
                <c:ptCount val="1"/>
                <c:pt idx="0">
                  <c:v>Capital interest</c:v>
                </c:pt>
              </c:strCache>
            </c:strRef>
          </c:tx>
          <c:spPr>
            <a:solidFill>
              <a:schemeClr val="accent4"/>
            </a:solidFill>
            <a:ln>
              <a:noFill/>
            </a:ln>
            <a:effectLst/>
          </c:spPr>
          <c:cat>
            <c:numRef>
              <c:f>infra!$U$4:$AA$4</c:f>
              <c:numCache>
                <c:formatCode>General</c:formatCode>
                <c:ptCount val="7"/>
                <c:pt idx="0">
                  <c:v>2020</c:v>
                </c:pt>
                <c:pt idx="1">
                  <c:v>2025</c:v>
                </c:pt>
                <c:pt idx="2">
                  <c:v>2030</c:v>
                </c:pt>
                <c:pt idx="3">
                  <c:v>2035</c:v>
                </c:pt>
                <c:pt idx="4">
                  <c:v>2040</c:v>
                </c:pt>
                <c:pt idx="5">
                  <c:v>2045</c:v>
                </c:pt>
                <c:pt idx="6">
                  <c:v>2050</c:v>
                </c:pt>
              </c:numCache>
            </c:numRef>
          </c:cat>
          <c:val>
            <c:numRef>
              <c:f>infra!$U$8:$AA$8</c:f>
              <c:numCache>
                <c:formatCode>#,##0</c:formatCode>
                <c:ptCount val="7"/>
                <c:pt idx="0">
                  <c:v>600375</c:v>
                </c:pt>
                <c:pt idx="1">
                  <c:v>581996.26871249999</c:v>
                </c:pt>
                <c:pt idx="2">
                  <c:v>564518.27812830161</c:v>
                </c:pt>
                <c:pt idx="3">
                  <c:v>547896.88299048319</c:v>
                </c:pt>
                <c:pt idx="4">
                  <c:v>532090.10159896151</c:v>
                </c:pt>
                <c:pt idx="5">
                  <c:v>517058.0097746799</c:v>
                </c:pt>
                <c:pt idx="6">
                  <c:v>502762.64002060506</c:v>
                </c:pt>
              </c:numCache>
            </c:numRef>
          </c:val>
          <c:extLst>
            <c:ext xmlns:c16="http://schemas.microsoft.com/office/drawing/2014/chart" uri="{C3380CC4-5D6E-409C-BE32-E72D297353CC}">
              <c16:uniqueId val="{00000003-2D84-42B9-85ED-17CBBEB533B9}"/>
            </c:ext>
          </c:extLst>
        </c:ser>
        <c:ser>
          <c:idx val="5"/>
          <c:order val="4"/>
          <c:tx>
            <c:strRef>
              <c:f>infra!$T$9</c:f>
              <c:strCache>
                <c:ptCount val="1"/>
                <c:pt idx="0">
                  <c:v>Maintenance</c:v>
                </c:pt>
              </c:strCache>
            </c:strRef>
          </c:tx>
          <c:spPr>
            <a:solidFill>
              <a:schemeClr val="accent6"/>
            </a:solidFill>
            <a:ln w="25400">
              <a:noFill/>
            </a:ln>
            <a:effectLst/>
          </c:spPr>
          <c:val>
            <c:numRef>
              <c:f>infra!$U$9:$AA$9</c:f>
              <c:numCache>
                <c:formatCode>#,##0</c:formatCode>
                <c:ptCount val="7"/>
                <c:pt idx="0">
                  <c:v>1800000</c:v>
                </c:pt>
                <c:pt idx="1">
                  <c:v>1711782.0898199999</c:v>
                </c:pt>
                <c:pt idx="2">
                  <c:v>1627887.7350158477</c:v>
                </c:pt>
                <c:pt idx="3">
                  <c:v>1548105.0383543191</c:v>
                </c:pt>
                <c:pt idx="4">
                  <c:v>1472232.4876750151</c:v>
                </c:pt>
                <c:pt idx="5">
                  <c:v>1400078.4469184636</c:v>
                </c:pt>
                <c:pt idx="6">
                  <c:v>1331460.6720989044</c:v>
                </c:pt>
              </c:numCache>
            </c:numRef>
          </c:val>
          <c:extLst>
            <c:ext xmlns:c16="http://schemas.microsoft.com/office/drawing/2014/chart" uri="{C3380CC4-5D6E-409C-BE32-E72D297353CC}">
              <c16:uniqueId val="{00000005-2D84-42B9-85ED-17CBBEB533B9}"/>
            </c:ext>
          </c:extLst>
        </c:ser>
        <c:ser>
          <c:idx val="4"/>
          <c:order val="5"/>
          <c:tx>
            <c:strRef>
              <c:f>infra!$T$10</c:f>
              <c:strCache>
                <c:ptCount val="1"/>
                <c:pt idx="0">
                  <c:v>Standardization risk</c:v>
                </c:pt>
              </c:strCache>
            </c:strRef>
          </c:tx>
          <c:spPr>
            <a:solidFill>
              <a:schemeClr val="accent5"/>
            </a:solidFill>
            <a:ln>
              <a:noFill/>
            </a:ln>
            <a:effectLst/>
          </c:spPr>
          <c:cat>
            <c:numRef>
              <c:f>infra!$U$4:$AA$4</c:f>
              <c:numCache>
                <c:formatCode>General</c:formatCode>
                <c:ptCount val="7"/>
                <c:pt idx="0">
                  <c:v>2020</c:v>
                </c:pt>
                <c:pt idx="1">
                  <c:v>2025</c:v>
                </c:pt>
                <c:pt idx="2">
                  <c:v>2030</c:v>
                </c:pt>
                <c:pt idx="3">
                  <c:v>2035</c:v>
                </c:pt>
                <c:pt idx="4">
                  <c:v>2040</c:v>
                </c:pt>
                <c:pt idx="5">
                  <c:v>2045</c:v>
                </c:pt>
                <c:pt idx="6">
                  <c:v>2050</c:v>
                </c:pt>
              </c:numCache>
            </c:numRef>
          </c:cat>
          <c:val>
            <c:numRef>
              <c:f>infra!$U$10:$AA$10</c:f>
              <c:numCache>
                <c:formatCode>#,##0</c:formatCode>
                <c:ptCount val="7"/>
                <c:pt idx="0">
                  <c:v>765281.25</c:v>
                </c:pt>
                <c:pt idx="1">
                  <c:v>241191.8351574222</c:v>
                </c:pt>
                <c:pt idx="2">
                  <c:v>76049.811475516763</c:v>
                </c:pt>
                <c:pt idx="3">
                  <c:v>23990.148995945776</c:v>
                </c:pt>
                <c:pt idx="4">
                  <c:v>7571.3307698515328</c:v>
                </c:pt>
                <c:pt idx="5">
                  <c:v>2390.6781433917777</c:v>
                </c:pt>
                <c:pt idx="6">
                  <c:v>755.23948518063423</c:v>
                </c:pt>
              </c:numCache>
            </c:numRef>
          </c:val>
          <c:extLst>
            <c:ext xmlns:c16="http://schemas.microsoft.com/office/drawing/2014/chart" uri="{C3380CC4-5D6E-409C-BE32-E72D297353CC}">
              <c16:uniqueId val="{00000004-2D84-42B9-85ED-17CBBEB533B9}"/>
            </c:ext>
          </c:extLst>
        </c:ser>
        <c:dLbls>
          <c:showLegendKey val="0"/>
          <c:showVal val="0"/>
          <c:showCatName val="0"/>
          <c:showSerName val="0"/>
          <c:showPercent val="0"/>
          <c:showBubbleSize val="0"/>
        </c:dLbls>
        <c:axId val="1502404432"/>
        <c:axId val="1652109648"/>
      </c:areaChart>
      <c:catAx>
        <c:axId val="1502404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109648"/>
        <c:crosses val="autoZero"/>
        <c:auto val="1"/>
        <c:lblAlgn val="ctr"/>
        <c:lblOffset val="100"/>
        <c:noMultiLvlLbl val="0"/>
      </c:catAx>
      <c:valAx>
        <c:axId val="16521096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40443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Diesel €/liter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world!$C$16</c:f>
              <c:strCache>
                <c:ptCount val="1"/>
                <c:pt idx="0">
                  <c:v>Price</c:v>
                </c:pt>
              </c:strCache>
            </c:strRef>
          </c:tx>
          <c:spPr>
            <a:solidFill>
              <a:schemeClr val="accent1"/>
            </a:solidFill>
            <a:ln>
              <a:noFill/>
            </a:ln>
            <a:effectLst/>
          </c:spPr>
          <c:cat>
            <c:numRef>
              <c:f>world!$E$1:$K$1</c:f>
              <c:numCache>
                <c:formatCode>General</c:formatCode>
                <c:ptCount val="7"/>
                <c:pt idx="0">
                  <c:v>2020</c:v>
                </c:pt>
                <c:pt idx="1">
                  <c:v>2025</c:v>
                </c:pt>
                <c:pt idx="2">
                  <c:v>2030</c:v>
                </c:pt>
                <c:pt idx="3">
                  <c:v>2035</c:v>
                </c:pt>
                <c:pt idx="4">
                  <c:v>2040</c:v>
                </c:pt>
                <c:pt idx="5">
                  <c:v>2045</c:v>
                </c:pt>
                <c:pt idx="6">
                  <c:v>2050</c:v>
                </c:pt>
              </c:numCache>
            </c:numRef>
          </c:cat>
          <c:val>
            <c:numRef>
              <c:f>world!$E$16:$K$16</c:f>
              <c:numCache>
                <c:formatCode>0.00</c:formatCode>
                <c:ptCount val="7"/>
                <c:pt idx="0">
                  <c:v>0.64500000000000002</c:v>
                </c:pt>
                <c:pt idx="1">
                  <c:v>0.68866196453586115</c:v>
                </c:pt>
                <c:pt idx="2">
                  <c:v>0.74930874747062581</c:v>
                </c:pt>
                <c:pt idx="3">
                  <c:v>0.99775260358836437</c:v>
                </c:pt>
                <c:pt idx="4">
                  <c:v>1.2253046691814418</c:v>
                </c:pt>
                <c:pt idx="5">
                  <c:v>1.4371415874805415</c:v>
                </c:pt>
                <c:pt idx="6">
                  <c:v>1.6376038650847007</c:v>
                </c:pt>
              </c:numCache>
            </c:numRef>
          </c:val>
          <c:extLst>
            <c:ext xmlns:c16="http://schemas.microsoft.com/office/drawing/2014/chart" uri="{C3380CC4-5D6E-409C-BE32-E72D297353CC}">
              <c16:uniqueId val="{00000000-2431-4408-B832-9AF1EFC17F85}"/>
            </c:ext>
          </c:extLst>
        </c:ser>
        <c:ser>
          <c:idx val="2"/>
          <c:order val="1"/>
          <c:tx>
            <c:strRef>
              <c:f>world!$C$18</c:f>
              <c:strCache>
                <c:ptCount val="1"/>
                <c:pt idx="0">
                  <c:v>CO₂ tax</c:v>
                </c:pt>
              </c:strCache>
            </c:strRef>
          </c:tx>
          <c:spPr>
            <a:solidFill>
              <a:schemeClr val="accent3"/>
            </a:solidFill>
            <a:ln w="25400">
              <a:noFill/>
            </a:ln>
            <a:effectLst/>
          </c:spPr>
          <c:cat>
            <c:numRef>
              <c:f>world!$E$1:$K$1</c:f>
              <c:numCache>
                <c:formatCode>General</c:formatCode>
                <c:ptCount val="7"/>
                <c:pt idx="0">
                  <c:v>2020</c:v>
                </c:pt>
                <c:pt idx="1">
                  <c:v>2025</c:v>
                </c:pt>
                <c:pt idx="2">
                  <c:v>2030</c:v>
                </c:pt>
                <c:pt idx="3">
                  <c:v>2035</c:v>
                </c:pt>
                <c:pt idx="4">
                  <c:v>2040</c:v>
                </c:pt>
                <c:pt idx="5">
                  <c:v>2045</c:v>
                </c:pt>
                <c:pt idx="6">
                  <c:v>2050</c:v>
                </c:pt>
              </c:numCache>
            </c:numRef>
          </c:cat>
          <c:val>
            <c:numRef>
              <c:f>world!$E$18:$K$18</c:f>
              <c:numCache>
                <c:formatCode>0.00</c:formatCode>
                <c:ptCount val="7"/>
                <c:pt idx="0">
                  <c:v>0.17371199999999998</c:v>
                </c:pt>
                <c:pt idx="1">
                  <c:v>0.37957911671882816</c:v>
                </c:pt>
                <c:pt idx="2">
                  <c:v>0.6007384599886354</c:v>
                </c:pt>
                <c:pt idx="3">
                  <c:v>0.78681160457091182</c:v>
                </c:pt>
                <c:pt idx="4">
                  <c:v>0.89164951590963026</c:v>
                </c:pt>
                <c:pt idx="5">
                  <c:v>0.93358487913076005</c:v>
                </c:pt>
                <c:pt idx="6">
                  <c:v>0.92932468488834097</c:v>
                </c:pt>
              </c:numCache>
            </c:numRef>
          </c:val>
          <c:extLst>
            <c:ext xmlns:c16="http://schemas.microsoft.com/office/drawing/2014/chart" uri="{C3380CC4-5D6E-409C-BE32-E72D297353CC}">
              <c16:uniqueId val="{00000002-2431-4408-B832-9AF1EFC17F85}"/>
            </c:ext>
          </c:extLst>
        </c:ser>
        <c:ser>
          <c:idx val="1"/>
          <c:order val="2"/>
          <c:tx>
            <c:strRef>
              <c:f>world!$C$19</c:f>
              <c:strCache>
                <c:ptCount val="1"/>
                <c:pt idx="0">
                  <c:v>Pollution tax</c:v>
                </c:pt>
              </c:strCache>
            </c:strRef>
          </c:tx>
          <c:spPr>
            <a:solidFill>
              <a:schemeClr val="accent2"/>
            </a:solidFill>
            <a:ln w="25400">
              <a:noFill/>
            </a:ln>
            <a:effectLst/>
          </c:spPr>
          <c:cat>
            <c:numRef>
              <c:f>world!$E$1:$K$1</c:f>
              <c:numCache>
                <c:formatCode>General</c:formatCode>
                <c:ptCount val="7"/>
                <c:pt idx="0">
                  <c:v>2020</c:v>
                </c:pt>
                <c:pt idx="1">
                  <c:v>2025</c:v>
                </c:pt>
                <c:pt idx="2">
                  <c:v>2030</c:v>
                </c:pt>
                <c:pt idx="3">
                  <c:v>2035</c:v>
                </c:pt>
                <c:pt idx="4">
                  <c:v>2040</c:v>
                </c:pt>
                <c:pt idx="5">
                  <c:v>2045</c:v>
                </c:pt>
                <c:pt idx="6">
                  <c:v>2050</c:v>
                </c:pt>
              </c:numCache>
            </c:numRef>
          </c:cat>
          <c:val>
            <c:numRef>
              <c:f>world!$E$19:$K$19</c:f>
              <c:numCache>
                <c:formatCode>0.00</c:formatCode>
                <c:ptCount val="7"/>
                <c:pt idx="0" formatCode="General">
                  <c:v>0.02</c:v>
                </c:pt>
                <c:pt idx="1">
                  <c:v>3.2210200000000008E-2</c:v>
                </c:pt>
                <c:pt idx="2">
                  <c:v>5.1874849202000035E-2</c:v>
                </c:pt>
                <c:pt idx="3">
                  <c:v>8.3544963388313104E-2</c:v>
                </c:pt>
                <c:pt idx="4">
                  <c:v>0.13454999898651218</c:v>
                </c:pt>
                <c:pt idx="5">
                  <c:v>0.21669411886776782</c:v>
                </c:pt>
                <c:pt idx="6">
                  <c:v>0.34898804537772893</c:v>
                </c:pt>
              </c:numCache>
            </c:numRef>
          </c:val>
          <c:extLst>
            <c:ext xmlns:c16="http://schemas.microsoft.com/office/drawing/2014/chart" uri="{C3380CC4-5D6E-409C-BE32-E72D297353CC}">
              <c16:uniqueId val="{00000001-2431-4408-B832-9AF1EFC17F85}"/>
            </c:ext>
          </c:extLst>
        </c:ser>
        <c:ser>
          <c:idx val="3"/>
          <c:order val="3"/>
          <c:tx>
            <c:strRef>
              <c:f>world!$C$20</c:f>
              <c:strCache>
                <c:ptCount val="1"/>
                <c:pt idx="0">
                  <c:v>Road tax</c:v>
                </c:pt>
              </c:strCache>
            </c:strRef>
          </c:tx>
          <c:spPr>
            <a:solidFill>
              <a:schemeClr val="accent4"/>
            </a:solidFill>
            <a:ln>
              <a:noFill/>
            </a:ln>
            <a:effectLst/>
          </c:spPr>
          <c:cat>
            <c:numRef>
              <c:f>world!$E$1:$K$1</c:f>
              <c:numCache>
                <c:formatCode>General</c:formatCode>
                <c:ptCount val="7"/>
                <c:pt idx="0">
                  <c:v>2020</c:v>
                </c:pt>
                <c:pt idx="1">
                  <c:v>2025</c:v>
                </c:pt>
                <c:pt idx="2">
                  <c:v>2030</c:v>
                </c:pt>
                <c:pt idx="3">
                  <c:v>2035</c:v>
                </c:pt>
                <c:pt idx="4">
                  <c:v>2040</c:v>
                </c:pt>
                <c:pt idx="5">
                  <c:v>2045</c:v>
                </c:pt>
                <c:pt idx="6">
                  <c:v>2050</c:v>
                </c:pt>
              </c:numCache>
            </c:numRef>
          </c:cat>
          <c:val>
            <c:numRef>
              <c:f>world!$E$20:$K$20</c:f>
              <c:numCache>
                <c:formatCode>0.00</c:formatCode>
                <c:ptCount val="7"/>
                <c:pt idx="0" formatCode="General">
                  <c:v>0.4</c:v>
                </c:pt>
                <c:pt idx="1">
                  <c:v>0.4</c:v>
                </c:pt>
                <c:pt idx="2">
                  <c:v>0.4</c:v>
                </c:pt>
                <c:pt idx="3">
                  <c:v>0.4</c:v>
                </c:pt>
                <c:pt idx="4">
                  <c:v>0.4</c:v>
                </c:pt>
                <c:pt idx="5">
                  <c:v>0.4</c:v>
                </c:pt>
                <c:pt idx="6">
                  <c:v>0.4</c:v>
                </c:pt>
              </c:numCache>
            </c:numRef>
          </c:val>
          <c:extLst>
            <c:ext xmlns:c16="http://schemas.microsoft.com/office/drawing/2014/chart" uri="{C3380CC4-5D6E-409C-BE32-E72D297353CC}">
              <c16:uniqueId val="{00000003-2431-4408-B832-9AF1EFC17F85}"/>
            </c:ext>
          </c:extLst>
        </c:ser>
        <c:dLbls>
          <c:showLegendKey val="0"/>
          <c:showVal val="0"/>
          <c:showCatName val="0"/>
          <c:showSerName val="0"/>
          <c:showPercent val="0"/>
          <c:showBubbleSize val="0"/>
        </c:dLbls>
        <c:axId val="785181631"/>
        <c:axId val="489872031"/>
      </c:areaChart>
      <c:catAx>
        <c:axId val="785181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872031"/>
        <c:crosses val="autoZero"/>
        <c:auto val="1"/>
        <c:lblAlgn val="ctr"/>
        <c:lblOffset val="100"/>
        <c:noMultiLvlLbl val="0"/>
      </c:catAx>
      <c:valAx>
        <c:axId val="4898720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1816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Electricity</a:t>
            </a:r>
            <a:r>
              <a:rPr lang="en-US" baseline="0"/>
              <a:t> €/kWh</a:t>
            </a:r>
            <a:br>
              <a:rPr lang="en-US" baseline="0"/>
            </a:br>
            <a:r>
              <a:rPr lang="en-US" baseline="0"/>
              <a:t>(SE3 &amp; SE4)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world!$C$27</c:f>
              <c:strCache>
                <c:ptCount val="1"/>
                <c:pt idx="0">
                  <c:v>Price min</c:v>
                </c:pt>
              </c:strCache>
            </c:strRef>
          </c:tx>
          <c:spPr>
            <a:solidFill>
              <a:schemeClr val="accent1"/>
            </a:solidFill>
            <a:ln w="25400">
              <a:noFill/>
            </a:ln>
            <a:effectLst/>
          </c:spPr>
          <c:cat>
            <c:numRef>
              <c:f>world!$E$1:$K$1</c:f>
              <c:numCache>
                <c:formatCode>General</c:formatCode>
                <c:ptCount val="7"/>
                <c:pt idx="0">
                  <c:v>2020</c:v>
                </c:pt>
                <c:pt idx="1">
                  <c:v>2025</c:v>
                </c:pt>
                <c:pt idx="2">
                  <c:v>2030</c:v>
                </c:pt>
                <c:pt idx="3">
                  <c:v>2035</c:v>
                </c:pt>
                <c:pt idx="4">
                  <c:v>2040</c:v>
                </c:pt>
                <c:pt idx="5">
                  <c:v>2045</c:v>
                </c:pt>
                <c:pt idx="6">
                  <c:v>2050</c:v>
                </c:pt>
              </c:numCache>
            </c:numRef>
          </c:cat>
          <c:val>
            <c:numRef>
              <c:f>world!$E$27:$K$27</c:f>
              <c:numCache>
                <c:formatCode>#,##0.00</c:formatCode>
                <c:ptCount val="7"/>
                <c:pt idx="0">
                  <c:v>7.1295287671232874E-2</c:v>
                </c:pt>
                <c:pt idx="1">
                  <c:v>7.1295287671232874E-2</c:v>
                </c:pt>
                <c:pt idx="2">
                  <c:v>7.1295287671232874E-2</c:v>
                </c:pt>
                <c:pt idx="3">
                  <c:v>7.1295287671232874E-2</c:v>
                </c:pt>
                <c:pt idx="4">
                  <c:v>7.1295287671232874E-2</c:v>
                </c:pt>
                <c:pt idx="5">
                  <c:v>7.1295287671232874E-2</c:v>
                </c:pt>
                <c:pt idx="6">
                  <c:v>7.1295287671232874E-2</c:v>
                </c:pt>
              </c:numCache>
            </c:numRef>
          </c:val>
          <c:extLst>
            <c:ext xmlns:c16="http://schemas.microsoft.com/office/drawing/2014/chart" uri="{C3380CC4-5D6E-409C-BE32-E72D297353CC}">
              <c16:uniqueId val="{00000000-95BE-4502-9B8B-86124B80B1A1}"/>
            </c:ext>
          </c:extLst>
        </c:ser>
        <c:ser>
          <c:idx val="1"/>
          <c:order val="1"/>
          <c:tx>
            <c:strRef>
              <c:f>world!$C$28</c:f>
              <c:strCache>
                <c:ptCount val="1"/>
                <c:pt idx="0">
                  <c:v>Price max</c:v>
                </c:pt>
              </c:strCache>
            </c:strRef>
          </c:tx>
          <c:spPr>
            <a:solidFill>
              <a:schemeClr val="accent2"/>
            </a:solidFill>
            <a:ln w="25400">
              <a:noFill/>
            </a:ln>
            <a:effectLst/>
          </c:spPr>
          <c:cat>
            <c:numRef>
              <c:f>world!$E$1:$K$1</c:f>
              <c:numCache>
                <c:formatCode>General</c:formatCode>
                <c:ptCount val="7"/>
                <c:pt idx="0">
                  <c:v>2020</c:v>
                </c:pt>
                <c:pt idx="1">
                  <c:v>2025</c:v>
                </c:pt>
                <c:pt idx="2">
                  <c:v>2030</c:v>
                </c:pt>
                <c:pt idx="3">
                  <c:v>2035</c:v>
                </c:pt>
                <c:pt idx="4">
                  <c:v>2040</c:v>
                </c:pt>
                <c:pt idx="5">
                  <c:v>2045</c:v>
                </c:pt>
                <c:pt idx="6">
                  <c:v>2050</c:v>
                </c:pt>
              </c:numCache>
            </c:numRef>
          </c:cat>
          <c:val>
            <c:numRef>
              <c:f>world!$P$28:$V$28</c:f>
              <c:numCache>
                <c:formatCode>General</c:formatCode>
                <c:ptCount val="7"/>
                <c:pt idx="0" formatCode="#,##0.00">
                  <c:v>5.3960109589041169E-2</c:v>
                </c:pt>
                <c:pt idx="1">
                  <c:v>5.3960109589041169E-2</c:v>
                </c:pt>
                <c:pt idx="2">
                  <c:v>5.3960109589041169E-2</c:v>
                </c:pt>
                <c:pt idx="3">
                  <c:v>5.3960109589041169E-2</c:v>
                </c:pt>
                <c:pt idx="4">
                  <c:v>5.3960109589041169E-2</c:v>
                </c:pt>
                <c:pt idx="5">
                  <c:v>5.3960109589041169E-2</c:v>
                </c:pt>
                <c:pt idx="6">
                  <c:v>5.3960109589041169E-2</c:v>
                </c:pt>
              </c:numCache>
            </c:numRef>
          </c:val>
          <c:extLst>
            <c:ext xmlns:c16="http://schemas.microsoft.com/office/drawing/2014/chart" uri="{C3380CC4-5D6E-409C-BE32-E72D297353CC}">
              <c16:uniqueId val="{00000001-95BE-4502-9B8B-86124B80B1A1}"/>
            </c:ext>
          </c:extLst>
        </c:ser>
        <c:ser>
          <c:idx val="2"/>
          <c:order val="2"/>
          <c:tx>
            <c:strRef>
              <c:f>world!$C$30</c:f>
              <c:strCache>
                <c:ptCount val="1"/>
                <c:pt idx="0">
                  <c:v>CO₂ tax</c:v>
                </c:pt>
              </c:strCache>
            </c:strRef>
          </c:tx>
          <c:spPr>
            <a:solidFill>
              <a:schemeClr val="accent3"/>
            </a:solidFill>
            <a:ln w="25400">
              <a:noFill/>
            </a:ln>
            <a:effectLst/>
          </c:spPr>
          <c:cat>
            <c:numRef>
              <c:f>world!$E$1:$K$1</c:f>
              <c:numCache>
                <c:formatCode>General</c:formatCode>
                <c:ptCount val="7"/>
                <c:pt idx="0">
                  <c:v>2020</c:v>
                </c:pt>
                <c:pt idx="1">
                  <c:v>2025</c:v>
                </c:pt>
                <c:pt idx="2">
                  <c:v>2030</c:v>
                </c:pt>
                <c:pt idx="3">
                  <c:v>2035</c:v>
                </c:pt>
                <c:pt idx="4">
                  <c:v>2040</c:v>
                </c:pt>
                <c:pt idx="5">
                  <c:v>2045</c:v>
                </c:pt>
                <c:pt idx="6">
                  <c:v>2050</c:v>
                </c:pt>
              </c:numCache>
            </c:numRef>
          </c:cat>
          <c:val>
            <c:numRef>
              <c:f>world!$E$30:$K$30</c:f>
              <c:numCache>
                <c:formatCode>0.000</c:formatCode>
                <c:ptCount val="7"/>
                <c:pt idx="0">
                  <c:v>1.4840000000000001E-2</c:v>
                </c:pt>
                <c:pt idx="1">
                  <c:v>2.1613754701440006E-2</c:v>
                </c:pt>
                <c:pt idx="2">
                  <c:v>2.3022588073852518E-2</c:v>
                </c:pt>
                <c:pt idx="3">
                  <c:v>2.4989289978390311E-2</c:v>
                </c:pt>
                <c:pt idx="4">
                  <c:v>2.362676347779669E-2</c:v>
                </c:pt>
                <c:pt idx="5">
                  <c:v>2.0742019846641532E-2</c:v>
                </c:pt>
                <c:pt idx="6">
                  <c:v>1.737683515839572E-2</c:v>
                </c:pt>
              </c:numCache>
            </c:numRef>
          </c:val>
          <c:extLst>
            <c:ext xmlns:c16="http://schemas.microsoft.com/office/drawing/2014/chart" uri="{C3380CC4-5D6E-409C-BE32-E72D297353CC}">
              <c16:uniqueId val="{00000002-95BE-4502-9B8B-86124B80B1A1}"/>
            </c:ext>
          </c:extLst>
        </c:ser>
        <c:ser>
          <c:idx val="3"/>
          <c:order val="3"/>
          <c:tx>
            <c:strRef>
              <c:f>world!$C$22</c:f>
              <c:strCache>
                <c:ptCount val="1"/>
                <c:pt idx="0">
                  <c:v>Road tax</c:v>
                </c:pt>
              </c:strCache>
            </c:strRef>
          </c:tx>
          <c:spPr>
            <a:solidFill>
              <a:schemeClr val="accent4"/>
            </a:solidFill>
            <a:ln w="25400">
              <a:noFill/>
            </a:ln>
            <a:effectLst/>
          </c:spPr>
          <c:cat>
            <c:numRef>
              <c:f>world!$E$1:$K$1</c:f>
              <c:numCache>
                <c:formatCode>General</c:formatCode>
                <c:ptCount val="7"/>
                <c:pt idx="0">
                  <c:v>2020</c:v>
                </c:pt>
                <c:pt idx="1">
                  <c:v>2025</c:v>
                </c:pt>
                <c:pt idx="2">
                  <c:v>2030</c:v>
                </c:pt>
                <c:pt idx="3">
                  <c:v>2035</c:v>
                </c:pt>
                <c:pt idx="4">
                  <c:v>2040</c:v>
                </c:pt>
                <c:pt idx="5">
                  <c:v>2045</c:v>
                </c:pt>
                <c:pt idx="6">
                  <c:v>2050</c:v>
                </c:pt>
              </c:numCache>
            </c:numRef>
          </c:cat>
          <c:val>
            <c:numRef>
              <c:f>world!$E$22:$K$22</c:f>
              <c:numCache>
                <c:formatCode>0.00</c:formatCode>
                <c:ptCount val="7"/>
                <c:pt idx="0">
                  <c:v>9.6067667804785997E-2</c:v>
                </c:pt>
                <c:pt idx="1">
                  <c:v>9.6067667804785997E-2</c:v>
                </c:pt>
                <c:pt idx="2">
                  <c:v>9.6067667804785997E-2</c:v>
                </c:pt>
                <c:pt idx="3">
                  <c:v>9.6067667804785997E-2</c:v>
                </c:pt>
                <c:pt idx="4">
                  <c:v>9.6067667804785997E-2</c:v>
                </c:pt>
                <c:pt idx="5">
                  <c:v>9.6067667804785997E-2</c:v>
                </c:pt>
                <c:pt idx="6">
                  <c:v>9.6067667804785997E-2</c:v>
                </c:pt>
              </c:numCache>
            </c:numRef>
          </c:val>
          <c:extLst>
            <c:ext xmlns:c16="http://schemas.microsoft.com/office/drawing/2014/chart" uri="{C3380CC4-5D6E-409C-BE32-E72D297353CC}">
              <c16:uniqueId val="{00000003-95BE-4502-9B8B-86124B80B1A1}"/>
            </c:ext>
          </c:extLst>
        </c:ser>
        <c:dLbls>
          <c:showLegendKey val="0"/>
          <c:showVal val="0"/>
          <c:showCatName val="0"/>
          <c:showSerName val="0"/>
          <c:showPercent val="0"/>
          <c:showBubbleSize val="0"/>
        </c:dLbls>
        <c:axId val="785181631"/>
        <c:axId val="489872031"/>
      </c:areaChart>
      <c:catAx>
        <c:axId val="785181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872031"/>
        <c:crosses val="autoZero"/>
        <c:auto val="1"/>
        <c:lblAlgn val="ctr"/>
        <c:lblOffset val="100"/>
        <c:noMultiLvlLbl val="0"/>
      </c:catAx>
      <c:valAx>
        <c:axId val="4898720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1816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Diesel CO2 kg/liter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world!$C$17</c:f>
              <c:strCache>
                <c:ptCount val="1"/>
                <c:pt idx="0">
                  <c:v>Emissions</c:v>
                </c:pt>
              </c:strCache>
            </c:strRef>
          </c:tx>
          <c:spPr>
            <a:solidFill>
              <a:schemeClr val="accent1"/>
            </a:solidFill>
            <a:ln w="25400">
              <a:noFill/>
            </a:ln>
            <a:effectLst/>
          </c:spPr>
          <c:cat>
            <c:numRef>
              <c:f>world!$E$1:$K$1</c:f>
              <c:numCache>
                <c:formatCode>General</c:formatCode>
                <c:ptCount val="7"/>
                <c:pt idx="0">
                  <c:v>2020</c:v>
                </c:pt>
                <c:pt idx="1">
                  <c:v>2025</c:v>
                </c:pt>
                <c:pt idx="2">
                  <c:v>2030</c:v>
                </c:pt>
                <c:pt idx="3">
                  <c:v>2035</c:v>
                </c:pt>
                <c:pt idx="4">
                  <c:v>2040</c:v>
                </c:pt>
                <c:pt idx="5">
                  <c:v>2045</c:v>
                </c:pt>
                <c:pt idx="6">
                  <c:v>2050</c:v>
                </c:pt>
              </c:numCache>
            </c:numRef>
          </c:cat>
          <c:val>
            <c:numRef>
              <c:f>world!$E$17:$K$17</c:f>
              <c:numCache>
                <c:formatCode>0.00</c:formatCode>
                <c:ptCount val="7"/>
                <c:pt idx="0">
                  <c:v>3.1019999999999999</c:v>
                </c:pt>
                <c:pt idx="1">
                  <c:v>3.0673059936875</c:v>
                </c:pt>
                <c:pt idx="2">
                  <c:v>3.003692299943177</c:v>
                </c:pt>
                <c:pt idx="3">
                  <c:v>2.3888018355094096</c:v>
                </c:pt>
                <c:pt idx="4">
                  <c:v>1.8870889225600636</c:v>
                </c:pt>
                <c:pt idx="5">
                  <c:v>1.4833523402276221</c:v>
                </c:pt>
                <c:pt idx="6">
                  <c:v>1.161655856110426</c:v>
                </c:pt>
              </c:numCache>
            </c:numRef>
          </c:val>
          <c:extLst>
            <c:ext xmlns:c16="http://schemas.microsoft.com/office/drawing/2014/chart" uri="{C3380CC4-5D6E-409C-BE32-E72D297353CC}">
              <c16:uniqueId val="{00000000-B563-4618-8603-B846917619D6}"/>
            </c:ext>
          </c:extLst>
        </c:ser>
        <c:dLbls>
          <c:showLegendKey val="0"/>
          <c:showVal val="0"/>
          <c:showCatName val="0"/>
          <c:showSerName val="0"/>
          <c:showPercent val="0"/>
          <c:showBubbleSize val="0"/>
        </c:dLbls>
        <c:axId val="785181631"/>
        <c:axId val="489872031"/>
      </c:areaChart>
      <c:catAx>
        <c:axId val="785181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872031"/>
        <c:crosses val="autoZero"/>
        <c:auto val="1"/>
        <c:lblAlgn val="ctr"/>
        <c:lblOffset val="100"/>
        <c:noMultiLvlLbl val="0"/>
      </c:catAx>
      <c:valAx>
        <c:axId val="4898720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1816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Electricity CO2 kg/kWh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world!$C$29</c:f>
              <c:strCache>
                <c:ptCount val="1"/>
                <c:pt idx="0">
                  <c:v>CO₂ emissions</c:v>
                </c:pt>
              </c:strCache>
            </c:strRef>
          </c:tx>
          <c:spPr>
            <a:solidFill>
              <a:schemeClr val="accent1"/>
            </a:solidFill>
            <a:ln w="25400">
              <a:noFill/>
            </a:ln>
            <a:effectLst/>
          </c:spPr>
          <c:cat>
            <c:numRef>
              <c:f>world!$E$1:$K$1</c:f>
              <c:numCache>
                <c:formatCode>General</c:formatCode>
                <c:ptCount val="7"/>
                <c:pt idx="0">
                  <c:v>2020</c:v>
                </c:pt>
                <c:pt idx="1">
                  <c:v>2025</c:v>
                </c:pt>
                <c:pt idx="2">
                  <c:v>2030</c:v>
                </c:pt>
                <c:pt idx="3">
                  <c:v>2035</c:v>
                </c:pt>
                <c:pt idx="4">
                  <c:v>2040</c:v>
                </c:pt>
                <c:pt idx="5">
                  <c:v>2045</c:v>
                </c:pt>
                <c:pt idx="6">
                  <c:v>2050</c:v>
                </c:pt>
              </c:numCache>
            </c:numRef>
          </c:cat>
          <c:val>
            <c:numRef>
              <c:f>world!$E$29:$K$29</c:f>
              <c:numCache>
                <c:formatCode>0.000</c:formatCode>
                <c:ptCount val="7"/>
                <c:pt idx="0" formatCode="General">
                  <c:v>0.26500000000000001</c:v>
                </c:pt>
                <c:pt idx="1">
                  <c:v>0.17465660364800004</c:v>
                </c:pt>
                <c:pt idx="2">
                  <c:v>0.11511294036926258</c:v>
                </c:pt>
                <c:pt idx="3">
                  <c:v>7.5868812078604353E-2</c:v>
                </c:pt>
                <c:pt idx="4">
                  <c:v>5.0003732228141126E-2</c:v>
                </c:pt>
                <c:pt idx="5">
                  <c:v>3.2956536002608186E-2</c:v>
                </c:pt>
                <c:pt idx="6">
                  <c:v>2.1721043947994647E-2</c:v>
                </c:pt>
              </c:numCache>
            </c:numRef>
          </c:val>
          <c:extLst>
            <c:ext xmlns:c16="http://schemas.microsoft.com/office/drawing/2014/chart" uri="{C3380CC4-5D6E-409C-BE32-E72D297353CC}">
              <c16:uniqueId val="{00000000-C57A-4AF5-81BA-889ED11D4093}"/>
            </c:ext>
          </c:extLst>
        </c:ser>
        <c:dLbls>
          <c:showLegendKey val="0"/>
          <c:showVal val="0"/>
          <c:showCatName val="0"/>
          <c:showSerName val="0"/>
          <c:showPercent val="0"/>
          <c:showBubbleSize val="0"/>
        </c:dLbls>
        <c:axId val="785181631"/>
        <c:axId val="489872031"/>
      </c:areaChart>
      <c:catAx>
        <c:axId val="785181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872031"/>
        <c:crosses val="autoZero"/>
        <c:auto val="1"/>
        <c:lblAlgn val="ctr"/>
        <c:lblOffset val="100"/>
        <c:noMultiLvlLbl val="0"/>
      </c:catAx>
      <c:valAx>
        <c:axId val="489872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1816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Diesel €/liter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'world (SE)'!$C$15</c:f>
              <c:strCache>
                <c:ptCount val="1"/>
                <c:pt idx="0">
                  <c:v>Price</c:v>
                </c:pt>
              </c:strCache>
            </c:strRef>
          </c:tx>
          <c:spPr>
            <a:solidFill>
              <a:schemeClr val="accent1"/>
            </a:solidFill>
            <a:ln>
              <a:noFill/>
            </a:ln>
            <a:effectLst/>
          </c:spPr>
          <c:cat>
            <c:numRef>
              <c:f>'world (SE)'!$E$1:$K$1</c:f>
              <c:numCache>
                <c:formatCode>General</c:formatCode>
                <c:ptCount val="7"/>
                <c:pt idx="0">
                  <c:v>2020</c:v>
                </c:pt>
                <c:pt idx="1">
                  <c:v>2025</c:v>
                </c:pt>
                <c:pt idx="2">
                  <c:v>2030</c:v>
                </c:pt>
                <c:pt idx="3">
                  <c:v>2035</c:v>
                </c:pt>
                <c:pt idx="4">
                  <c:v>2040</c:v>
                </c:pt>
                <c:pt idx="5">
                  <c:v>2045</c:v>
                </c:pt>
                <c:pt idx="6">
                  <c:v>2050</c:v>
                </c:pt>
              </c:numCache>
            </c:numRef>
          </c:cat>
          <c:val>
            <c:numRef>
              <c:f>'world (SE)'!$E$15:$K$15</c:f>
              <c:numCache>
                <c:formatCode>0.00</c:formatCode>
                <c:ptCount val="7"/>
                <c:pt idx="0">
                  <c:v>1.35</c:v>
                </c:pt>
                <c:pt idx="1">
                  <c:v>1.4306060300599999</c:v>
                </c:pt>
                <c:pt idx="2">
                  <c:v>1.5033011126056022</c:v>
                </c:pt>
                <c:pt idx="3">
                  <c:v>1.6650490653790504</c:v>
                </c:pt>
                <c:pt idx="4">
                  <c:v>1.6709053266629303</c:v>
                </c:pt>
                <c:pt idx="5">
                  <c:v>1.6203791761007547</c:v>
                </c:pt>
                <c:pt idx="6">
                  <c:v>1.5516157236059998</c:v>
                </c:pt>
              </c:numCache>
            </c:numRef>
          </c:val>
          <c:extLst>
            <c:ext xmlns:c16="http://schemas.microsoft.com/office/drawing/2014/chart" uri="{C3380CC4-5D6E-409C-BE32-E72D297353CC}">
              <c16:uniqueId val="{00000000-3DFA-4B9C-8E6C-73D83FF78091}"/>
            </c:ext>
          </c:extLst>
        </c:ser>
        <c:ser>
          <c:idx val="2"/>
          <c:order val="1"/>
          <c:tx>
            <c:strRef>
              <c:f>'world (SE)'!$C$17</c:f>
              <c:strCache>
                <c:ptCount val="1"/>
                <c:pt idx="0">
                  <c:v>CO₂ tax</c:v>
                </c:pt>
              </c:strCache>
            </c:strRef>
          </c:tx>
          <c:spPr>
            <a:solidFill>
              <a:schemeClr val="accent3"/>
            </a:solidFill>
            <a:ln w="25400">
              <a:noFill/>
            </a:ln>
            <a:effectLst/>
          </c:spPr>
          <c:cat>
            <c:numRef>
              <c:f>'world (SE)'!$E$1:$K$1</c:f>
              <c:numCache>
                <c:formatCode>General</c:formatCode>
                <c:ptCount val="7"/>
                <c:pt idx="0">
                  <c:v>2020</c:v>
                </c:pt>
                <c:pt idx="1">
                  <c:v>2025</c:v>
                </c:pt>
                <c:pt idx="2">
                  <c:v>2030</c:v>
                </c:pt>
                <c:pt idx="3">
                  <c:v>2035</c:v>
                </c:pt>
                <c:pt idx="4">
                  <c:v>2040</c:v>
                </c:pt>
                <c:pt idx="5">
                  <c:v>2045</c:v>
                </c:pt>
                <c:pt idx="6">
                  <c:v>2050</c:v>
                </c:pt>
              </c:numCache>
            </c:numRef>
          </c:cat>
          <c:val>
            <c:numRef>
              <c:f>'world (SE)'!$E$17:$K$17</c:f>
              <c:numCache>
                <c:formatCode>0.00</c:formatCode>
                <c:ptCount val="7"/>
                <c:pt idx="0">
                  <c:v>0.32675999999999999</c:v>
                </c:pt>
                <c:pt idx="1">
                  <c:v>0.37544032596874993</c:v>
                </c:pt>
                <c:pt idx="2">
                  <c:v>0.38127114367541992</c:v>
                </c:pt>
                <c:pt idx="3">
                  <c:v>0.23474062563102022</c:v>
                </c:pt>
                <c:pt idx="4">
                  <c:v>0.14965846999796562</c:v>
                </c:pt>
                <c:pt idx="5">
                  <c:v>0.10042535246371194</c:v>
                </c:pt>
                <c:pt idx="6">
                  <c:v>7.1266177418050233E-2</c:v>
                </c:pt>
              </c:numCache>
            </c:numRef>
          </c:val>
          <c:extLst>
            <c:ext xmlns:c16="http://schemas.microsoft.com/office/drawing/2014/chart" uri="{C3380CC4-5D6E-409C-BE32-E72D297353CC}">
              <c16:uniqueId val="{00000001-3DFA-4B9C-8E6C-73D83FF78091}"/>
            </c:ext>
          </c:extLst>
        </c:ser>
        <c:ser>
          <c:idx val="1"/>
          <c:order val="2"/>
          <c:tx>
            <c:strRef>
              <c:f>'world (SE)'!$C$18</c:f>
              <c:strCache>
                <c:ptCount val="1"/>
                <c:pt idx="0">
                  <c:v>Pollution tax</c:v>
                </c:pt>
              </c:strCache>
            </c:strRef>
          </c:tx>
          <c:spPr>
            <a:solidFill>
              <a:schemeClr val="accent2"/>
            </a:solidFill>
            <a:ln w="25400">
              <a:noFill/>
            </a:ln>
            <a:effectLst/>
          </c:spPr>
          <c:cat>
            <c:numRef>
              <c:f>'world (SE)'!$E$1:$K$1</c:f>
              <c:numCache>
                <c:formatCode>General</c:formatCode>
                <c:ptCount val="7"/>
                <c:pt idx="0">
                  <c:v>2020</c:v>
                </c:pt>
                <c:pt idx="1">
                  <c:v>2025</c:v>
                </c:pt>
                <c:pt idx="2">
                  <c:v>2030</c:v>
                </c:pt>
                <c:pt idx="3">
                  <c:v>2035</c:v>
                </c:pt>
                <c:pt idx="4">
                  <c:v>2040</c:v>
                </c:pt>
                <c:pt idx="5">
                  <c:v>2045</c:v>
                </c:pt>
                <c:pt idx="6">
                  <c:v>2050</c:v>
                </c:pt>
              </c:numCache>
            </c:numRef>
          </c:cat>
          <c:val>
            <c:numRef>
              <c:f>'world (SE)'!$E$18:$K$18</c:f>
              <c:numCache>
                <c:formatCode>0.00</c:formatCode>
                <c:ptCount val="7"/>
                <c:pt idx="0" formatCode="General">
                  <c:v>0.02</c:v>
                </c:pt>
                <c:pt idx="1">
                  <c:v>3.2210200000000008E-2</c:v>
                </c:pt>
                <c:pt idx="2">
                  <c:v>5.1874849202000035E-2</c:v>
                </c:pt>
                <c:pt idx="3">
                  <c:v>8.3544963388313104E-2</c:v>
                </c:pt>
                <c:pt idx="4">
                  <c:v>0.13454999898651218</c:v>
                </c:pt>
                <c:pt idx="5">
                  <c:v>0.21669411886776782</c:v>
                </c:pt>
                <c:pt idx="6">
                  <c:v>0.34898804537772893</c:v>
                </c:pt>
              </c:numCache>
            </c:numRef>
          </c:val>
          <c:extLst>
            <c:ext xmlns:c16="http://schemas.microsoft.com/office/drawing/2014/chart" uri="{C3380CC4-5D6E-409C-BE32-E72D297353CC}">
              <c16:uniqueId val="{00000002-3DFA-4B9C-8E6C-73D83FF78091}"/>
            </c:ext>
          </c:extLst>
        </c:ser>
        <c:ser>
          <c:idx val="3"/>
          <c:order val="3"/>
          <c:tx>
            <c:strRef>
              <c:f>'world (SE)'!$C$19</c:f>
              <c:strCache>
                <c:ptCount val="1"/>
                <c:pt idx="0">
                  <c:v>Road tax</c:v>
                </c:pt>
              </c:strCache>
            </c:strRef>
          </c:tx>
          <c:spPr>
            <a:solidFill>
              <a:schemeClr val="accent4"/>
            </a:solidFill>
            <a:ln>
              <a:noFill/>
            </a:ln>
            <a:effectLst/>
          </c:spPr>
          <c:cat>
            <c:numRef>
              <c:f>'world (SE)'!$E$1:$K$1</c:f>
              <c:numCache>
                <c:formatCode>General</c:formatCode>
                <c:ptCount val="7"/>
                <c:pt idx="0">
                  <c:v>2020</c:v>
                </c:pt>
                <c:pt idx="1">
                  <c:v>2025</c:v>
                </c:pt>
                <c:pt idx="2">
                  <c:v>2030</c:v>
                </c:pt>
                <c:pt idx="3">
                  <c:v>2035</c:v>
                </c:pt>
                <c:pt idx="4">
                  <c:v>2040</c:v>
                </c:pt>
                <c:pt idx="5">
                  <c:v>2045</c:v>
                </c:pt>
                <c:pt idx="6">
                  <c:v>2050</c:v>
                </c:pt>
              </c:numCache>
            </c:numRef>
          </c:cat>
          <c:val>
            <c:numRef>
              <c:f>'world (SE)'!$E$19:$K$19</c:f>
              <c:numCache>
                <c:formatCode>0.00</c:formatCode>
                <c:ptCount val="7"/>
                <c:pt idx="0" formatCode="General">
                  <c:v>0.2</c:v>
                </c:pt>
                <c:pt idx="1">
                  <c:v>0.2</c:v>
                </c:pt>
                <c:pt idx="2">
                  <c:v>0.2</c:v>
                </c:pt>
                <c:pt idx="3">
                  <c:v>0.2</c:v>
                </c:pt>
                <c:pt idx="4">
                  <c:v>0.2</c:v>
                </c:pt>
                <c:pt idx="5">
                  <c:v>0.2</c:v>
                </c:pt>
                <c:pt idx="6">
                  <c:v>0.2</c:v>
                </c:pt>
              </c:numCache>
            </c:numRef>
          </c:val>
          <c:extLst>
            <c:ext xmlns:c16="http://schemas.microsoft.com/office/drawing/2014/chart" uri="{C3380CC4-5D6E-409C-BE32-E72D297353CC}">
              <c16:uniqueId val="{00000003-3DFA-4B9C-8E6C-73D83FF78091}"/>
            </c:ext>
          </c:extLst>
        </c:ser>
        <c:dLbls>
          <c:showLegendKey val="0"/>
          <c:showVal val="0"/>
          <c:showCatName val="0"/>
          <c:showSerName val="0"/>
          <c:showPercent val="0"/>
          <c:showBubbleSize val="0"/>
        </c:dLbls>
        <c:axId val="785181631"/>
        <c:axId val="489872031"/>
      </c:areaChart>
      <c:catAx>
        <c:axId val="785181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872031"/>
        <c:crosses val="autoZero"/>
        <c:auto val="1"/>
        <c:lblAlgn val="ctr"/>
        <c:lblOffset val="100"/>
        <c:noMultiLvlLbl val="0"/>
      </c:catAx>
      <c:valAx>
        <c:axId val="4898720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1816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Electricity</a:t>
            </a:r>
            <a:r>
              <a:rPr lang="en-US" baseline="0"/>
              <a:t> €/kWh</a:t>
            </a:r>
            <a:br>
              <a:rPr lang="en-US" baseline="0"/>
            </a:br>
            <a:r>
              <a:rPr lang="en-US" baseline="0"/>
              <a:t>(SE3 &amp; SE4)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'world (SE)'!$C$27</c:f>
              <c:strCache>
                <c:ptCount val="1"/>
                <c:pt idx="0">
                  <c:v>Price max</c:v>
                </c:pt>
              </c:strCache>
            </c:strRef>
          </c:tx>
          <c:spPr>
            <a:solidFill>
              <a:schemeClr val="accent1"/>
            </a:solidFill>
            <a:ln w="25400">
              <a:noFill/>
            </a:ln>
            <a:effectLst/>
          </c:spPr>
          <c:cat>
            <c:numRef>
              <c:f>'world (SE)'!$E$1:$K$1</c:f>
              <c:numCache>
                <c:formatCode>General</c:formatCode>
                <c:ptCount val="7"/>
                <c:pt idx="0">
                  <c:v>2020</c:v>
                </c:pt>
                <c:pt idx="1">
                  <c:v>2025</c:v>
                </c:pt>
                <c:pt idx="2">
                  <c:v>2030</c:v>
                </c:pt>
                <c:pt idx="3">
                  <c:v>2035</c:v>
                </c:pt>
                <c:pt idx="4">
                  <c:v>2040</c:v>
                </c:pt>
                <c:pt idx="5">
                  <c:v>2045</c:v>
                </c:pt>
                <c:pt idx="6">
                  <c:v>2050</c:v>
                </c:pt>
              </c:numCache>
            </c:numRef>
          </c:cat>
          <c:val>
            <c:numRef>
              <c:f>'world (SE)'!$E$27:$K$27</c:f>
              <c:numCache>
                <c:formatCode>#,##0.00</c:formatCode>
                <c:ptCount val="7"/>
                <c:pt idx="0">
                  <c:v>9.7833534246575302E-2</c:v>
                </c:pt>
                <c:pt idx="1">
                  <c:v>9.7833534246575302E-2</c:v>
                </c:pt>
                <c:pt idx="2">
                  <c:v>9.7833534246575302E-2</c:v>
                </c:pt>
                <c:pt idx="3">
                  <c:v>9.7833534246575302E-2</c:v>
                </c:pt>
                <c:pt idx="4">
                  <c:v>9.7833534246575302E-2</c:v>
                </c:pt>
                <c:pt idx="5">
                  <c:v>9.7833534246575302E-2</c:v>
                </c:pt>
                <c:pt idx="6">
                  <c:v>9.7833534246575302E-2</c:v>
                </c:pt>
              </c:numCache>
            </c:numRef>
          </c:val>
          <c:extLst>
            <c:ext xmlns:c16="http://schemas.microsoft.com/office/drawing/2014/chart" uri="{C3380CC4-5D6E-409C-BE32-E72D297353CC}">
              <c16:uniqueId val="{00000000-B7F4-424C-8F0D-559AA97705EC}"/>
            </c:ext>
          </c:extLst>
        </c:ser>
        <c:ser>
          <c:idx val="1"/>
          <c:order val="1"/>
          <c:tx>
            <c:strRef>
              <c:f>'world (SE)'!$C$27</c:f>
              <c:strCache>
                <c:ptCount val="1"/>
                <c:pt idx="0">
                  <c:v>Price max</c:v>
                </c:pt>
              </c:strCache>
            </c:strRef>
          </c:tx>
          <c:spPr>
            <a:solidFill>
              <a:schemeClr val="accent2"/>
            </a:solidFill>
            <a:ln w="25400">
              <a:noFill/>
            </a:ln>
            <a:effectLst/>
          </c:spPr>
          <c:cat>
            <c:numRef>
              <c:f>'world (SE)'!$E$1:$K$1</c:f>
              <c:numCache>
                <c:formatCode>General</c:formatCode>
                <c:ptCount val="7"/>
                <c:pt idx="0">
                  <c:v>2020</c:v>
                </c:pt>
                <c:pt idx="1">
                  <c:v>2025</c:v>
                </c:pt>
                <c:pt idx="2">
                  <c:v>2030</c:v>
                </c:pt>
                <c:pt idx="3">
                  <c:v>2035</c:v>
                </c:pt>
                <c:pt idx="4">
                  <c:v>2040</c:v>
                </c:pt>
                <c:pt idx="5">
                  <c:v>2045</c:v>
                </c:pt>
                <c:pt idx="6">
                  <c:v>2050</c:v>
                </c:pt>
              </c:numCache>
            </c:numRef>
          </c:cat>
          <c:val>
            <c:numRef>
              <c:f>'world (SE)'!$P$27:$V$27</c:f>
              <c:numCache>
                <c:formatCode>General</c:formatCode>
                <c:ptCount val="7"/>
                <c:pt idx="0" formatCode="#,##0.00">
                  <c:v>5.43743150684931E-2</c:v>
                </c:pt>
                <c:pt idx="1">
                  <c:v>5.43743150684931E-2</c:v>
                </c:pt>
                <c:pt idx="2">
                  <c:v>5.43743150684931E-2</c:v>
                </c:pt>
                <c:pt idx="3">
                  <c:v>5.43743150684931E-2</c:v>
                </c:pt>
                <c:pt idx="4">
                  <c:v>5.43743150684931E-2</c:v>
                </c:pt>
                <c:pt idx="5">
                  <c:v>5.43743150684931E-2</c:v>
                </c:pt>
                <c:pt idx="6">
                  <c:v>5.43743150684931E-2</c:v>
                </c:pt>
              </c:numCache>
            </c:numRef>
          </c:val>
          <c:extLst>
            <c:ext xmlns:c16="http://schemas.microsoft.com/office/drawing/2014/chart" uri="{C3380CC4-5D6E-409C-BE32-E72D297353CC}">
              <c16:uniqueId val="{00000001-B7F4-424C-8F0D-559AA97705EC}"/>
            </c:ext>
          </c:extLst>
        </c:ser>
        <c:ser>
          <c:idx val="2"/>
          <c:order val="2"/>
          <c:tx>
            <c:strRef>
              <c:f>'world (SE)'!$C$29</c:f>
              <c:strCache>
                <c:ptCount val="1"/>
                <c:pt idx="0">
                  <c:v>CO₂ tax</c:v>
                </c:pt>
              </c:strCache>
            </c:strRef>
          </c:tx>
          <c:spPr>
            <a:solidFill>
              <a:schemeClr val="accent3"/>
            </a:solidFill>
            <a:ln w="25400">
              <a:noFill/>
            </a:ln>
            <a:effectLst/>
          </c:spPr>
          <c:cat>
            <c:numRef>
              <c:f>'world (SE)'!$E$1:$K$1</c:f>
              <c:numCache>
                <c:formatCode>General</c:formatCode>
                <c:ptCount val="7"/>
                <c:pt idx="0">
                  <c:v>2020</c:v>
                </c:pt>
                <c:pt idx="1">
                  <c:v>2025</c:v>
                </c:pt>
                <c:pt idx="2">
                  <c:v>2030</c:v>
                </c:pt>
                <c:pt idx="3">
                  <c:v>2035</c:v>
                </c:pt>
                <c:pt idx="4">
                  <c:v>2040</c:v>
                </c:pt>
                <c:pt idx="5">
                  <c:v>2045</c:v>
                </c:pt>
                <c:pt idx="6">
                  <c:v>2050</c:v>
                </c:pt>
              </c:numCache>
            </c:numRef>
          </c:cat>
          <c:val>
            <c:numRef>
              <c:f>'world (SE)'!$E$29:$K$29</c:f>
              <c:numCache>
                <c:formatCode>0.000</c:formatCode>
                <c:ptCount val="7"/>
                <c:pt idx="0">
                  <c:v>1.2599999999999998E-2</c:v>
                </c:pt>
                <c:pt idx="1">
                  <c:v>1.2187049765624999E-2</c:v>
                </c:pt>
                <c:pt idx="2">
                  <c:v>1.131612815160536E-2</c:v>
                </c:pt>
                <c:pt idx="3">
                  <c:v>1.0215571625022559E-2</c:v>
                </c:pt>
                <c:pt idx="4">
                  <c:v>9.0338452446952593E-3</c:v>
                </c:pt>
                <c:pt idx="5">
                  <c:v>7.8639943980039918E-3</c:v>
                </c:pt>
                <c:pt idx="6">
                  <c:v>6.7611210642025289E-3</c:v>
                </c:pt>
              </c:numCache>
            </c:numRef>
          </c:val>
          <c:extLst>
            <c:ext xmlns:c16="http://schemas.microsoft.com/office/drawing/2014/chart" uri="{C3380CC4-5D6E-409C-BE32-E72D297353CC}">
              <c16:uniqueId val="{00000002-B7F4-424C-8F0D-559AA97705EC}"/>
            </c:ext>
          </c:extLst>
        </c:ser>
        <c:ser>
          <c:idx val="3"/>
          <c:order val="3"/>
          <c:tx>
            <c:strRef>
              <c:f>'world (SE)'!$C$21</c:f>
              <c:strCache>
                <c:ptCount val="1"/>
                <c:pt idx="0">
                  <c:v>Road tax</c:v>
                </c:pt>
              </c:strCache>
            </c:strRef>
          </c:tx>
          <c:spPr>
            <a:solidFill>
              <a:schemeClr val="accent4"/>
            </a:solidFill>
            <a:ln w="25400">
              <a:noFill/>
            </a:ln>
            <a:effectLst/>
          </c:spPr>
          <c:cat>
            <c:numRef>
              <c:f>'world (SE)'!$E$1:$K$1</c:f>
              <c:numCache>
                <c:formatCode>General</c:formatCode>
                <c:ptCount val="7"/>
                <c:pt idx="0">
                  <c:v>2020</c:v>
                </c:pt>
                <c:pt idx="1">
                  <c:v>2025</c:v>
                </c:pt>
                <c:pt idx="2">
                  <c:v>2030</c:v>
                </c:pt>
                <c:pt idx="3">
                  <c:v>2035</c:v>
                </c:pt>
                <c:pt idx="4">
                  <c:v>2040</c:v>
                </c:pt>
                <c:pt idx="5">
                  <c:v>2045</c:v>
                </c:pt>
                <c:pt idx="6">
                  <c:v>2050</c:v>
                </c:pt>
              </c:numCache>
            </c:numRef>
          </c:cat>
          <c:val>
            <c:numRef>
              <c:f>'world (SE)'!$E$21:$K$21</c:f>
              <c:numCache>
                <c:formatCode>0.00</c:formatCode>
                <c:ptCount val="7"/>
                <c:pt idx="0">
                  <c:v>4.8033833902392999E-2</c:v>
                </c:pt>
                <c:pt idx="1">
                  <c:v>4.8033833902392999E-2</c:v>
                </c:pt>
                <c:pt idx="2">
                  <c:v>4.8033833902392999E-2</c:v>
                </c:pt>
                <c:pt idx="3">
                  <c:v>4.8033833902392999E-2</c:v>
                </c:pt>
                <c:pt idx="4">
                  <c:v>4.8033833902392999E-2</c:v>
                </c:pt>
                <c:pt idx="5">
                  <c:v>4.8033833902392999E-2</c:v>
                </c:pt>
                <c:pt idx="6">
                  <c:v>4.8033833902392999E-2</c:v>
                </c:pt>
              </c:numCache>
            </c:numRef>
          </c:val>
          <c:extLst>
            <c:ext xmlns:c16="http://schemas.microsoft.com/office/drawing/2014/chart" uri="{C3380CC4-5D6E-409C-BE32-E72D297353CC}">
              <c16:uniqueId val="{00000003-B7F4-424C-8F0D-559AA97705EC}"/>
            </c:ext>
          </c:extLst>
        </c:ser>
        <c:dLbls>
          <c:showLegendKey val="0"/>
          <c:showVal val="0"/>
          <c:showCatName val="0"/>
          <c:showSerName val="0"/>
          <c:showPercent val="0"/>
          <c:showBubbleSize val="0"/>
        </c:dLbls>
        <c:axId val="785181631"/>
        <c:axId val="489872031"/>
      </c:areaChart>
      <c:catAx>
        <c:axId val="785181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872031"/>
        <c:crosses val="autoZero"/>
        <c:auto val="1"/>
        <c:lblAlgn val="ctr"/>
        <c:lblOffset val="100"/>
        <c:noMultiLvlLbl val="0"/>
      </c:catAx>
      <c:valAx>
        <c:axId val="4898720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1816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Diesel CO2 kg/liter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'world (SE)'!$C$16</c:f>
              <c:strCache>
                <c:ptCount val="1"/>
                <c:pt idx="0">
                  <c:v>Emissions</c:v>
                </c:pt>
              </c:strCache>
            </c:strRef>
          </c:tx>
          <c:spPr>
            <a:solidFill>
              <a:schemeClr val="accent1"/>
            </a:solidFill>
            <a:ln w="25400">
              <a:noFill/>
            </a:ln>
            <a:effectLst/>
          </c:spPr>
          <c:cat>
            <c:numRef>
              <c:f>'world (SE)'!$E$1:$K$1</c:f>
              <c:numCache>
                <c:formatCode>General</c:formatCode>
                <c:ptCount val="7"/>
                <c:pt idx="0">
                  <c:v>2020</c:v>
                </c:pt>
                <c:pt idx="1">
                  <c:v>2025</c:v>
                </c:pt>
                <c:pt idx="2">
                  <c:v>2030</c:v>
                </c:pt>
                <c:pt idx="3">
                  <c:v>2035</c:v>
                </c:pt>
                <c:pt idx="4">
                  <c:v>2040</c:v>
                </c:pt>
                <c:pt idx="5">
                  <c:v>2045</c:v>
                </c:pt>
                <c:pt idx="6">
                  <c:v>2050</c:v>
                </c:pt>
              </c:numCache>
            </c:numRef>
          </c:cat>
          <c:val>
            <c:numRef>
              <c:f>'world (SE)'!$E$16:$K$16</c:f>
              <c:numCache>
                <c:formatCode>0.00</c:formatCode>
                <c:ptCount val="7"/>
                <c:pt idx="0">
                  <c:v>2.3340000000000001</c:v>
                </c:pt>
                <c:pt idx="1">
                  <c:v>2.1453732912499999</c:v>
                </c:pt>
                <c:pt idx="2">
                  <c:v>1.8155768746448568</c:v>
                </c:pt>
                <c:pt idx="3">
                  <c:v>0.95812500257559274</c:v>
                </c:pt>
                <c:pt idx="4">
                  <c:v>0.5344945357070201</c:v>
                </c:pt>
                <c:pt idx="5">
                  <c:v>0.31881064274194271</c:v>
                </c:pt>
                <c:pt idx="6">
                  <c:v>0.20361764976585783</c:v>
                </c:pt>
              </c:numCache>
            </c:numRef>
          </c:val>
          <c:extLst>
            <c:ext xmlns:c16="http://schemas.microsoft.com/office/drawing/2014/chart" uri="{C3380CC4-5D6E-409C-BE32-E72D297353CC}">
              <c16:uniqueId val="{00000000-004C-421B-B82F-BF169EBD93FA}"/>
            </c:ext>
          </c:extLst>
        </c:ser>
        <c:dLbls>
          <c:showLegendKey val="0"/>
          <c:showVal val="0"/>
          <c:showCatName val="0"/>
          <c:showSerName val="0"/>
          <c:showPercent val="0"/>
          <c:showBubbleSize val="0"/>
        </c:dLbls>
        <c:axId val="785181631"/>
        <c:axId val="489872031"/>
      </c:areaChart>
      <c:catAx>
        <c:axId val="785181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872031"/>
        <c:crosses val="autoZero"/>
        <c:auto val="1"/>
        <c:lblAlgn val="ctr"/>
        <c:lblOffset val="100"/>
        <c:noMultiLvlLbl val="0"/>
      </c:catAx>
      <c:valAx>
        <c:axId val="4898720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1816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Electricity CO2 kg/kWh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'world (SE)'!$C$28</c:f>
              <c:strCache>
                <c:ptCount val="1"/>
                <c:pt idx="0">
                  <c:v>CO₂ emissions</c:v>
                </c:pt>
              </c:strCache>
            </c:strRef>
          </c:tx>
          <c:spPr>
            <a:solidFill>
              <a:schemeClr val="accent1"/>
            </a:solidFill>
            <a:ln w="25400">
              <a:noFill/>
            </a:ln>
            <a:effectLst/>
          </c:spPr>
          <c:cat>
            <c:numRef>
              <c:f>'world (SE)'!$E$1:$K$1</c:f>
              <c:numCache>
                <c:formatCode>General</c:formatCode>
                <c:ptCount val="7"/>
                <c:pt idx="0">
                  <c:v>2020</c:v>
                </c:pt>
                <c:pt idx="1">
                  <c:v>2025</c:v>
                </c:pt>
                <c:pt idx="2">
                  <c:v>2030</c:v>
                </c:pt>
                <c:pt idx="3">
                  <c:v>2035</c:v>
                </c:pt>
                <c:pt idx="4">
                  <c:v>2040</c:v>
                </c:pt>
                <c:pt idx="5">
                  <c:v>2045</c:v>
                </c:pt>
                <c:pt idx="6">
                  <c:v>2050</c:v>
                </c:pt>
              </c:numCache>
            </c:numRef>
          </c:cat>
          <c:val>
            <c:numRef>
              <c:f>'world (SE)'!$E$28:$K$28</c:f>
              <c:numCache>
                <c:formatCode>0.000</c:formatCode>
                <c:ptCount val="7"/>
                <c:pt idx="0" formatCode="General">
                  <c:v>0.09</c:v>
                </c:pt>
                <c:pt idx="1">
                  <c:v>6.9640284375E-2</c:v>
                </c:pt>
                <c:pt idx="2">
                  <c:v>5.3886324531454095E-2</c:v>
                </c:pt>
                <c:pt idx="3">
                  <c:v>4.1696210714377797E-2</c:v>
                </c:pt>
                <c:pt idx="4">
                  <c:v>3.2263733016768791E-2</c:v>
                </c:pt>
                <c:pt idx="5">
                  <c:v>2.4965061580965058E-2</c:v>
                </c:pt>
                <c:pt idx="6">
                  <c:v>1.9317488754864373E-2</c:v>
                </c:pt>
              </c:numCache>
            </c:numRef>
          </c:val>
          <c:extLst>
            <c:ext xmlns:c16="http://schemas.microsoft.com/office/drawing/2014/chart" uri="{C3380CC4-5D6E-409C-BE32-E72D297353CC}">
              <c16:uniqueId val="{00000000-495D-4037-9EAE-2ACFAC7DF9A5}"/>
            </c:ext>
          </c:extLst>
        </c:ser>
        <c:dLbls>
          <c:showLegendKey val="0"/>
          <c:showVal val="0"/>
          <c:showCatName val="0"/>
          <c:showSerName val="0"/>
          <c:showPercent val="0"/>
          <c:showBubbleSize val="0"/>
        </c:dLbls>
        <c:axId val="785181631"/>
        <c:axId val="489872031"/>
      </c:areaChart>
      <c:catAx>
        <c:axId val="785181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872031"/>
        <c:crosses val="autoZero"/>
        <c:auto val="1"/>
        <c:lblAlgn val="ctr"/>
        <c:lblOffset val="100"/>
        <c:noMultiLvlLbl val="0"/>
      </c:catAx>
      <c:valAx>
        <c:axId val="489872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1816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powertrains!$A$41</c:f>
              <c:strCache>
                <c:ptCount val="1"/>
                <c:pt idx="0">
                  <c:v>HGV60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powertrains!$C$40:$I$40</c:f>
              <c:numCache>
                <c:formatCode>General</c:formatCode>
                <c:ptCount val="7"/>
                <c:pt idx="0">
                  <c:v>2020</c:v>
                </c:pt>
                <c:pt idx="1">
                  <c:v>2025</c:v>
                </c:pt>
                <c:pt idx="2">
                  <c:v>2030</c:v>
                </c:pt>
                <c:pt idx="3">
                  <c:v>2035</c:v>
                </c:pt>
                <c:pt idx="4">
                  <c:v>2040</c:v>
                </c:pt>
                <c:pt idx="5">
                  <c:v>2045</c:v>
                </c:pt>
                <c:pt idx="6">
                  <c:v>2050</c:v>
                </c:pt>
              </c:numCache>
            </c:numRef>
          </c:xVal>
          <c:yVal>
            <c:numRef>
              <c:f>powertrains!$C$41:$I$41</c:f>
              <c:numCache>
                <c:formatCode>0</c:formatCode>
                <c:ptCount val="7"/>
                <c:pt idx="0">
                  <c:v>17520</c:v>
                </c:pt>
                <c:pt idx="1">
                  <c:v>15836.692359935996</c:v>
                </c:pt>
                <c:pt idx="2">
                  <c:v>14315.115576669814</c:v>
                </c:pt>
                <c:pt idx="3">
                  <c:v>12939.730678347471</c:v>
                </c:pt>
                <c:pt idx="4">
                  <c:v>11696.491665149249</c:v>
                </c:pt>
                <c:pt idx="5">
                  <c:v>10572.702065726266</c:v>
                </c:pt>
                <c:pt idx="6">
                  <c:v>9556.8852755802909</c:v>
                </c:pt>
              </c:numCache>
            </c:numRef>
          </c:yVal>
          <c:smooth val="0"/>
          <c:extLst>
            <c:ext xmlns:c16="http://schemas.microsoft.com/office/drawing/2014/chart" uri="{C3380CC4-5D6E-409C-BE32-E72D297353CC}">
              <c16:uniqueId val="{00000000-9934-4EAF-A8F9-723FC390F4BF}"/>
            </c:ext>
          </c:extLst>
        </c:ser>
        <c:ser>
          <c:idx val="1"/>
          <c:order val="1"/>
          <c:tx>
            <c:strRef>
              <c:f>powertrains!$A$42</c:f>
              <c:strCache>
                <c:ptCount val="1"/>
                <c:pt idx="0">
                  <c:v>HGV40</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powertrains!$C$40:$I$40</c:f>
              <c:numCache>
                <c:formatCode>General</c:formatCode>
                <c:ptCount val="7"/>
                <c:pt idx="0">
                  <c:v>2020</c:v>
                </c:pt>
                <c:pt idx="1">
                  <c:v>2025</c:v>
                </c:pt>
                <c:pt idx="2">
                  <c:v>2030</c:v>
                </c:pt>
                <c:pt idx="3">
                  <c:v>2035</c:v>
                </c:pt>
                <c:pt idx="4">
                  <c:v>2040</c:v>
                </c:pt>
                <c:pt idx="5">
                  <c:v>2045</c:v>
                </c:pt>
                <c:pt idx="6">
                  <c:v>2050</c:v>
                </c:pt>
              </c:numCache>
            </c:numRef>
          </c:xVal>
          <c:yVal>
            <c:numRef>
              <c:f>powertrains!$C$42:$I$42</c:f>
              <c:numCache>
                <c:formatCode>0</c:formatCode>
                <c:ptCount val="7"/>
                <c:pt idx="0">
                  <c:v>13872</c:v>
                </c:pt>
                <c:pt idx="1">
                  <c:v>12539.189293209598</c:v>
                </c:pt>
                <c:pt idx="2">
                  <c:v>11334.433977144046</c:v>
                </c:pt>
                <c:pt idx="3">
                  <c:v>10245.430591897039</c:v>
                </c:pt>
                <c:pt idx="4">
                  <c:v>9261.0577841866652</c:v>
                </c:pt>
                <c:pt idx="5">
                  <c:v>8371.2627314928504</c:v>
                </c:pt>
                <c:pt idx="6">
                  <c:v>7566.9584784731624</c:v>
                </c:pt>
              </c:numCache>
            </c:numRef>
          </c:yVal>
          <c:smooth val="0"/>
          <c:extLst>
            <c:ext xmlns:c16="http://schemas.microsoft.com/office/drawing/2014/chart" uri="{C3380CC4-5D6E-409C-BE32-E72D297353CC}">
              <c16:uniqueId val="{00000001-9934-4EAF-A8F9-723FC390F4BF}"/>
            </c:ext>
          </c:extLst>
        </c:ser>
        <c:ser>
          <c:idx val="2"/>
          <c:order val="2"/>
          <c:tx>
            <c:strRef>
              <c:f>powertrains!$A$43</c:f>
              <c:strCache>
                <c:ptCount val="1"/>
                <c:pt idx="0">
                  <c:v>MGV24</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powertrains!$C$40:$I$40</c:f>
              <c:numCache>
                <c:formatCode>General</c:formatCode>
                <c:ptCount val="7"/>
                <c:pt idx="0">
                  <c:v>2020</c:v>
                </c:pt>
                <c:pt idx="1">
                  <c:v>2025</c:v>
                </c:pt>
                <c:pt idx="2">
                  <c:v>2030</c:v>
                </c:pt>
                <c:pt idx="3">
                  <c:v>2035</c:v>
                </c:pt>
                <c:pt idx="4">
                  <c:v>2040</c:v>
                </c:pt>
                <c:pt idx="5">
                  <c:v>2045</c:v>
                </c:pt>
                <c:pt idx="6">
                  <c:v>2050</c:v>
                </c:pt>
              </c:numCache>
            </c:numRef>
          </c:xVal>
          <c:yVal>
            <c:numRef>
              <c:f>powertrains!$C$43:$I$43</c:f>
              <c:numCache>
                <c:formatCode>0</c:formatCode>
                <c:ptCount val="7"/>
                <c:pt idx="0">
                  <c:v>9312</c:v>
                </c:pt>
                <c:pt idx="1">
                  <c:v>8417.310459801598</c:v>
                </c:pt>
                <c:pt idx="2">
                  <c:v>7608.5819777368324</c:v>
                </c:pt>
                <c:pt idx="3">
                  <c:v>6877.5554838339986</c:v>
                </c:pt>
                <c:pt idx="4">
                  <c:v>6216.7654329834368</c:v>
                </c:pt>
                <c:pt idx="5">
                  <c:v>5619.4635637010833</c:v>
                </c:pt>
                <c:pt idx="6">
                  <c:v>5079.549982089251</c:v>
                </c:pt>
              </c:numCache>
            </c:numRef>
          </c:yVal>
          <c:smooth val="0"/>
          <c:extLst>
            <c:ext xmlns:c16="http://schemas.microsoft.com/office/drawing/2014/chart" uri="{C3380CC4-5D6E-409C-BE32-E72D297353CC}">
              <c16:uniqueId val="{00000002-9934-4EAF-A8F9-723FC390F4BF}"/>
            </c:ext>
          </c:extLst>
        </c:ser>
        <c:ser>
          <c:idx val="3"/>
          <c:order val="3"/>
          <c:tx>
            <c:strRef>
              <c:f>powertrains!$A$44</c:f>
              <c:strCache>
                <c:ptCount val="1"/>
                <c:pt idx="0">
                  <c:v>MGV16</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powertrains!$C$40:$I$40</c:f>
              <c:numCache>
                <c:formatCode>General</c:formatCode>
                <c:ptCount val="7"/>
                <c:pt idx="0">
                  <c:v>2020</c:v>
                </c:pt>
                <c:pt idx="1">
                  <c:v>2025</c:v>
                </c:pt>
                <c:pt idx="2">
                  <c:v>2030</c:v>
                </c:pt>
                <c:pt idx="3">
                  <c:v>2035</c:v>
                </c:pt>
                <c:pt idx="4">
                  <c:v>2040</c:v>
                </c:pt>
                <c:pt idx="5">
                  <c:v>2045</c:v>
                </c:pt>
                <c:pt idx="6">
                  <c:v>2050</c:v>
                </c:pt>
              </c:numCache>
            </c:numRef>
          </c:xVal>
          <c:yVal>
            <c:numRef>
              <c:f>powertrains!$C$44:$I$44</c:f>
              <c:numCache>
                <c:formatCode>0</c:formatCode>
                <c:ptCount val="7"/>
                <c:pt idx="0">
                  <c:v>6758.4000000000005</c:v>
                </c:pt>
                <c:pt idx="1">
                  <c:v>6109.0583130931191</c:v>
                </c:pt>
                <c:pt idx="2">
                  <c:v>5522.1048580687948</c:v>
                </c:pt>
                <c:pt idx="3">
                  <c:v>4991.5454233186956</c:v>
                </c:pt>
                <c:pt idx="4">
                  <c:v>4511.9617163096282</c:v>
                </c:pt>
                <c:pt idx="5">
                  <c:v>4078.4560297376938</c:v>
                </c:pt>
                <c:pt idx="6">
                  <c:v>3686.6012241142598</c:v>
                </c:pt>
              </c:numCache>
            </c:numRef>
          </c:yVal>
          <c:smooth val="0"/>
          <c:extLst>
            <c:ext xmlns:c16="http://schemas.microsoft.com/office/drawing/2014/chart" uri="{C3380CC4-5D6E-409C-BE32-E72D297353CC}">
              <c16:uniqueId val="{00000003-9934-4EAF-A8F9-723FC390F4BF}"/>
            </c:ext>
          </c:extLst>
        </c:ser>
        <c:dLbls>
          <c:showLegendKey val="0"/>
          <c:showVal val="0"/>
          <c:showCatName val="0"/>
          <c:showSerName val="0"/>
          <c:showPercent val="0"/>
          <c:showBubbleSize val="0"/>
        </c:dLbls>
        <c:axId val="767173376"/>
        <c:axId val="767179200"/>
      </c:scatterChart>
      <c:valAx>
        <c:axId val="767173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179200"/>
        <c:crosses val="autoZero"/>
        <c:crossBetween val="midCat"/>
      </c:valAx>
      <c:valAx>
        <c:axId val="767179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EUR/truck</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17337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vehicles!$E$78:$K$78</c:f>
              <c:numCache>
                <c:formatCode>#,##0</c:formatCode>
                <c:ptCount val="7"/>
                <c:pt idx="0">
                  <c:v>259200</c:v>
                </c:pt>
                <c:pt idx="1">
                  <c:v>262736.7838640855</c:v>
                </c:pt>
                <c:pt idx="2">
                  <c:v>266453.97925027087</c:v>
                </c:pt>
                <c:pt idx="3">
                  <c:v>270360.78895933705</c:v>
                </c:pt>
                <c:pt idx="4">
                  <c:v>274466.88522739388</c:v>
                </c:pt>
                <c:pt idx="5">
                  <c:v>278782.43367179972</c:v>
                </c:pt>
                <c:pt idx="6">
                  <c:v>283318.11845856369</c:v>
                </c:pt>
              </c:numCache>
            </c:numRef>
          </c:val>
          <c:extLst>
            <c:ext xmlns:c16="http://schemas.microsoft.com/office/drawing/2014/chart" uri="{C3380CC4-5D6E-409C-BE32-E72D297353CC}">
              <c16:uniqueId val="{00000000-0D1B-4218-847C-9E7D290AA531}"/>
            </c:ext>
          </c:extLst>
        </c:ser>
        <c:ser>
          <c:idx val="1"/>
          <c:order val="1"/>
          <c:spPr>
            <a:solidFill>
              <a:schemeClr val="accent2"/>
            </a:solidFill>
            <a:ln>
              <a:noFill/>
            </a:ln>
            <a:effectLst/>
          </c:spPr>
          <c:invertIfNegative val="0"/>
          <c:val>
            <c:numRef>
              <c:f>vehicles!$E$80:$K$80</c:f>
              <c:numCache>
                <c:formatCode>#,##0</c:formatCode>
                <c:ptCount val="7"/>
                <c:pt idx="0">
                  <c:v>215794.56</c:v>
                </c:pt>
                <c:pt idx="1">
                  <c:v>213303.2646927053</c:v>
                </c:pt>
                <c:pt idx="2">
                  <c:v>211051.33105347131</c:v>
                </c:pt>
                <c:pt idx="3">
                  <c:v>209015.76140395424</c:v>
                </c:pt>
                <c:pt idx="4">
                  <c:v>207175.76766442088</c:v>
                </c:pt>
                <c:pt idx="5">
                  <c:v>205512.55905727489</c:v>
                </c:pt>
                <c:pt idx="6">
                  <c:v>204009.15020785888</c:v>
                </c:pt>
              </c:numCache>
            </c:numRef>
          </c:val>
          <c:extLst>
            <c:ext xmlns:c16="http://schemas.microsoft.com/office/drawing/2014/chart" uri="{C3380CC4-5D6E-409C-BE32-E72D297353CC}">
              <c16:uniqueId val="{00000001-0D1B-4218-847C-9E7D290AA531}"/>
            </c:ext>
          </c:extLst>
        </c:ser>
        <c:dLbls>
          <c:showLegendKey val="0"/>
          <c:showVal val="0"/>
          <c:showCatName val="0"/>
          <c:showSerName val="0"/>
          <c:showPercent val="0"/>
          <c:showBubbleSize val="0"/>
        </c:dLbls>
        <c:gapWidth val="219"/>
        <c:overlap val="-27"/>
        <c:axId val="1729758160"/>
        <c:axId val="1729758992"/>
      </c:barChart>
      <c:catAx>
        <c:axId val="172975816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758992"/>
        <c:crosses val="autoZero"/>
        <c:auto val="1"/>
        <c:lblAlgn val="ctr"/>
        <c:lblOffset val="100"/>
        <c:noMultiLvlLbl val="0"/>
      </c:catAx>
      <c:valAx>
        <c:axId val="17297589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758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vehicles!$L$78:$R$78</c:f>
              <c:numCache>
                <c:formatCode>0.000</c:formatCode>
                <c:ptCount val="7"/>
                <c:pt idx="0">
                  <c:v>0.50112000000000001</c:v>
                </c:pt>
                <c:pt idx="1">
                  <c:v>0.50504975984898393</c:v>
                </c:pt>
                <c:pt idx="2">
                  <c:v>0.50917997694474537</c:v>
                </c:pt>
                <c:pt idx="3">
                  <c:v>0.5135208766214856</c:v>
                </c:pt>
                <c:pt idx="4">
                  <c:v>0.51808320580821543</c:v>
                </c:pt>
                <c:pt idx="5">
                  <c:v>0.52287825963533308</c:v>
                </c:pt>
                <c:pt idx="6">
                  <c:v>0.52791790939840411</c:v>
                </c:pt>
              </c:numCache>
            </c:numRef>
          </c:val>
          <c:extLst>
            <c:ext xmlns:c16="http://schemas.microsoft.com/office/drawing/2014/chart" uri="{C3380CC4-5D6E-409C-BE32-E72D297353CC}">
              <c16:uniqueId val="{00000000-6A5C-4A1C-8CB5-72FC4A668C07}"/>
            </c:ext>
          </c:extLst>
        </c:ser>
        <c:ser>
          <c:idx val="1"/>
          <c:order val="1"/>
          <c:spPr>
            <a:solidFill>
              <a:schemeClr val="accent2"/>
            </a:solidFill>
            <a:ln>
              <a:noFill/>
            </a:ln>
            <a:effectLst/>
          </c:spPr>
          <c:invertIfNegative val="0"/>
          <c:val>
            <c:numRef>
              <c:f>vehicles!$L$79:$R$79</c:f>
              <c:numCache>
                <c:formatCode>General</c:formatCode>
                <c:ptCount val="7"/>
              </c:numCache>
            </c:numRef>
          </c:val>
          <c:extLst>
            <c:ext xmlns:c16="http://schemas.microsoft.com/office/drawing/2014/chart" uri="{C3380CC4-5D6E-409C-BE32-E72D297353CC}">
              <c16:uniqueId val="{00000001-6A5C-4A1C-8CB5-72FC4A668C07}"/>
            </c:ext>
          </c:extLst>
        </c:ser>
        <c:ser>
          <c:idx val="2"/>
          <c:order val="2"/>
          <c:spPr>
            <a:solidFill>
              <a:schemeClr val="accent3"/>
            </a:solidFill>
            <a:ln>
              <a:noFill/>
            </a:ln>
            <a:effectLst/>
          </c:spPr>
          <c:invertIfNegative val="0"/>
          <c:val>
            <c:numRef>
              <c:f>vehicles!$L$80:$R$80</c:f>
              <c:numCache>
                <c:formatCode>0.000</c:formatCode>
                <c:ptCount val="7"/>
                <c:pt idx="0">
                  <c:v>1.7985239447746002</c:v>
                </c:pt>
                <c:pt idx="1">
                  <c:v>1.8292093190669889</c:v>
                </c:pt>
                <c:pt idx="2">
                  <c:v>1.8621722866207444</c:v>
                </c:pt>
                <c:pt idx="3">
                  <c:v>1.8973906618394039</c:v>
                </c:pt>
                <c:pt idx="4">
                  <c:v>1.9348478639482916</c:v>
                </c:pt>
                <c:pt idx="5">
                  <c:v>1.9745326580648741</c:v>
                </c:pt>
                <c:pt idx="6">
                  <c:v>2.016438917809884</c:v>
                </c:pt>
              </c:numCache>
            </c:numRef>
          </c:val>
          <c:extLst>
            <c:ext xmlns:c16="http://schemas.microsoft.com/office/drawing/2014/chart" uri="{C3380CC4-5D6E-409C-BE32-E72D297353CC}">
              <c16:uniqueId val="{00000002-6A5C-4A1C-8CB5-72FC4A668C07}"/>
            </c:ext>
          </c:extLst>
        </c:ser>
        <c:dLbls>
          <c:showLegendKey val="0"/>
          <c:showVal val="0"/>
          <c:showCatName val="0"/>
          <c:showSerName val="0"/>
          <c:showPercent val="0"/>
          <c:showBubbleSize val="0"/>
        </c:dLbls>
        <c:gapWidth val="219"/>
        <c:overlap val="-27"/>
        <c:axId val="368329968"/>
        <c:axId val="368331632"/>
      </c:barChart>
      <c:catAx>
        <c:axId val="36832996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331632"/>
        <c:crosses val="autoZero"/>
        <c:auto val="1"/>
        <c:lblAlgn val="ctr"/>
        <c:lblOffset val="100"/>
        <c:noMultiLvlLbl val="0"/>
      </c:catAx>
      <c:valAx>
        <c:axId val="368331632"/>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329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HGV60 ICEV</c:v>
          </c:tx>
          <c:spPr>
            <a:ln w="28575" cap="rnd">
              <a:solidFill>
                <a:schemeClr val="accent1"/>
              </a:solidFill>
              <a:round/>
            </a:ln>
            <a:effectLst/>
          </c:spPr>
          <c:marker>
            <c:symbol val="none"/>
          </c:marker>
          <c:cat>
            <c:numRef>
              <c:f>vehicles!$E$52:$K$52</c:f>
              <c:numCache>
                <c:formatCode>General</c:formatCode>
                <c:ptCount val="7"/>
                <c:pt idx="0">
                  <c:v>2020</c:v>
                </c:pt>
                <c:pt idx="1">
                  <c:v>2025</c:v>
                </c:pt>
                <c:pt idx="2">
                  <c:v>2030</c:v>
                </c:pt>
                <c:pt idx="3">
                  <c:v>2035</c:v>
                </c:pt>
                <c:pt idx="4">
                  <c:v>2040</c:v>
                </c:pt>
                <c:pt idx="5">
                  <c:v>2045</c:v>
                </c:pt>
                <c:pt idx="6">
                  <c:v>2050</c:v>
                </c:pt>
              </c:numCache>
            </c:numRef>
          </c:cat>
          <c:val>
            <c:numRef>
              <c:f>vehicles!$E$78:$K$78</c:f>
              <c:numCache>
                <c:formatCode>#,##0</c:formatCode>
                <c:ptCount val="7"/>
                <c:pt idx="0">
                  <c:v>259200</c:v>
                </c:pt>
                <c:pt idx="1">
                  <c:v>262736.7838640855</c:v>
                </c:pt>
                <c:pt idx="2">
                  <c:v>266453.97925027087</c:v>
                </c:pt>
                <c:pt idx="3">
                  <c:v>270360.78895933705</c:v>
                </c:pt>
                <c:pt idx="4">
                  <c:v>274466.88522739388</c:v>
                </c:pt>
                <c:pt idx="5">
                  <c:v>278782.43367179972</c:v>
                </c:pt>
                <c:pt idx="6">
                  <c:v>283318.11845856369</c:v>
                </c:pt>
              </c:numCache>
            </c:numRef>
          </c:val>
          <c:smooth val="0"/>
          <c:extLst>
            <c:ext xmlns:c16="http://schemas.microsoft.com/office/drawing/2014/chart" uri="{C3380CC4-5D6E-409C-BE32-E72D297353CC}">
              <c16:uniqueId val="{00000000-5A00-4BF8-891F-C126A5E881B2}"/>
            </c:ext>
          </c:extLst>
        </c:ser>
        <c:dLbls>
          <c:showLegendKey val="0"/>
          <c:showVal val="0"/>
          <c:showCatName val="0"/>
          <c:showSerName val="0"/>
          <c:showPercent val="0"/>
          <c:showBubbleSize val="0"/>
        </c:dLbls>
        <c:smooth val="0"/>
        <c:axId val="1384694255"/>
        <c:axId val="489871071"/>
      </c:lineChart>
      <c:catAx>
        <c:axId val="138469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871071"/>
        <c:crosses val="autoZero"/>
        <c:auto val="1"/>
        <c:lblAlgn val="ctr"/>
        <c:lblOffset val="100"/>
        <c:noMultiLvlLbl val="0"/>
      </c:catAx>
      <c:valAx>
        <c:axId val="4898710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694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Code Pro Bold" panose="00000500000000000000" pitchFamily="2" charset="0"/>
                <a:ea typeface="+mn-ea"/>
                <a:cs typeface="Latha" panose="020B0604020202020204" pitchFamily="34" charset="0"/>
              </a:defRPr>
            </a:pPr>
            <a:r>
              <a:rPr lang="en-US" sz="1200">
                <a:latin typeface="Code Pro Bold" panose="00000500000000000000" pitchFamily="2" charset="0"/>
              </a:rPr>
              <a:t>Vehicle purchase cost</a:t>
            </a:r>
            <a:br>
              <a:rPr lang="en-US" sz="1200">
                <a:latin typeface="Code Pro Bold" panose="00000500000000000000" pitchFamily="2" charset="0"/>
              </a:rPr>
            </a:br>
            <a:r>
              <a:rPr lang="en-US" sz="1200" b="0">
                <a:latin typeface="Lato" panose="020F0502020204030203" pitchFamily="34" charset="0"/>
              </a:rPr>
              <a:t>if range = 150% of mean daily </a:t>
            </a:r>
            <a:r>
              <a:rPr lang="en-US" sz="1200" b="0" baseline="0">
                <a:latin typeface="Lato" panose="020F0502020204030203" pitchFamily="34" charset="0"/>
              </a:rPr>
              <a:t>distance</a:t>
            </a:r>
            <a:endParaRPr lang="en-US" sz="1200" b="0">
              <a:latin typeface="Lato" panose="020F0502020204030203" pitchFamily="34"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Code Pro Bold" panose="00000500000000000000" pitchFamily="2" charset="0"/>
              <a:ea typeface="+mn-ea"/>
              <a:cs typeface="Latha" panose="020B0604020202020204" pitchFamily="34" charset="0"/>
            </a:defRPr>
          </a:pPr>
          <a:endParaRPr lang="en-US"/>
        </a:p>
      </c:txPr>
    </c:title>
    <c:autoTitleDeleted val="0"/>
    <c:plotArea>
      <c:layout>
        <c:manualLayout>
          <c:layoutTarget val="inner"/>
          <c:xMode val="edge"/>
          <c:yMode val="edge"/>
          <c:x val="0.18219879157537561"/>
          <c:y val="0.12898368883312422"/>
          <c:w val="0.42630535360211508"/>
          <c:h val="0.78370670990417191"/>
        </c:manualLayout>
      </c:layout>
      <c:lineChart>
        <c:grouping val="standard"/>
        <c:varyColors val="0"/>
        <c:ser>
          <c:idx val="0"/>
          <c:order val="0"/>
          <c:tx>
            <c:strRef>
              <c:f>vehicles!$AW$19</c:f>
              <c:strCache>
                <c:ptCount val="1"/>
                <c:pt idx="0">
                  <c:v>HGV60 ICEV</c:v>
                </c:pt>
              </c:strCache>
            </c:strRef>
          </c:tx>
          <c:spPr>
            <a:ln w="28575" cap="rnd">
              <a:solidFill>
                <a:schemeClr val="tx2"/>
              </a:solidFill>
              <a:round/>
            </a:ln>
            <a:effectLst/>
          </c:spPr>
          <c:marker>
            <c:symbol val="none"/>
          </c:marker>
          <c:cat>
            <c:numRef>
              <c:f>vehicles!$AX$18:$BD$18</c:f>
              <c:numCache>
                <c:formatCode>General</c:formatCode>
                <c:ptCount val="7"/>
                <c:pt idx="0">
                  <c:v>2020</c:v>
                </c:pt>
                <c:pt idx="1">
                  <c:v>2025</c:v>
                </c:pt>
                <c:pt idx="2">
                  <c:v>2030</c:v>
                </c:pt>
                <c:pt idx="3">
                  <c:v>2035</c:v>
                </c:pt>
                <c:pt idx="4">
                  <c:v>2040</c:v>
                </c:pt>
                <c:pt idx="5">
                  <c:v>2045</c:v>
                </c:pt>
                <c:pt idx="6">
                  <c:v>2050</c:v>
                </c:pt>
              </c:numCache>
            </c:numRef>
          </c:cat>
          <c:val>
            <c:numRef>
              <c:f>vehicles!$AX$19:$BD$19</c:f>
              <c:numCache>
                <c:formatCode>#,##0</c:formatCode>
                <c:ptCount val="7"/>
                <c:pt idx="0">
                  <c:v>259200</c:v>
                </c:pt>
                <c:pt idx="1">
                  <c:v>262736.7838640855</c:v>
                </c:pt>
                <c:pt idx="2">
                  <c:v>266453.97925027087</c:v>
                </c:pt>
                <c:pt idx="3">
                  <c:v>270360.78895933705</c:v>
                </c:pt>
                <c:pt idx="4">
                  <c:v>274466.88522739388</c:v>
                </c:pt>
                <c:pt idx="5">
                  <c:v>278782.43367179972</c:v>
                </c:pt>
                <c:pt idx="6">
                  <c:v>283318.11845856369</c:v>
                </c:pt>
              </c:numCache>
            </c:numRef>
          </c:val>
          <c:smooth val="0"/>
          <c:extLst>
            <c:ext xmlns:c16="http://schemas.microsoft.com/office/drawing/2014/chart" uri="{C3380CC4-5D6E-409C-BE32-E72D297353CC}">
              <c16:uniqueId val="{00000000-000B-4DDB-8662-206D2D972355}"/>
            </c:ext>
          </c:extLst>
        </c:ser>
        <c:ser>
          <c:idx val="1"/>
          <c:order val="1"/>
          <c:tx>
            <c:strRef>
              <c:f>vehicles!$AW$20</c:f>
              <c:strCache>
                <c:ptCount val="1"/>
                <c:pt idx="0">
                  <c:v>HGV40 ICEV</c:v>
                </c:pt>
              </c:strCache>
            </c:strRef>
          </c:tx>
          <c:spPr>
            <a:ln w="28575" cap="rnd">
              <a:solidFill>
                <a:schemeClr val="accent2"/>
              </a:solidFill>
              <a:round/>
            </a:ln>
            <a:effectLst/>
          </c:spPr>
          <c:marker>
            <c:symbol val="none"/>
          </c:marker>
          <c:cat>
            <c:numRef>
              <c:f>vehicles!$AX$18:$BD$18</c:f>
              <c:numCache>
                <c:formatCode>General</c:formatCode>
                <c:ptCount val="7"/>
                <c:pt idx="0">
                  <c:v>2020</c:v>
                </c:pt>
                <c:pt idx="1">
                  <c:v>2025</c:v>
                </c:pt>
                <c:pt idx="2">
                  <c:v>2030</c:v>
                </c:pt>
                <c:pt idx="3">
                  <c:v>2035</c:v>
                </c:pt>
                <c:pt idx="4">
                  <c:v>2040</c:v>
                </c:pt>
                <c:pt idx="5">
                  <c:v>2045</c:v>
                </c:pt>
                <c:pt idx="6">
                  <c:v>2050</c:v>
                </c:pt>
              </c:numCache>
            </c:numRef>
          </c:cat>
          <c:val>
            <c:numRef>
              <c:f>vehicles!$AX$20:$BD$20</c:f>
              <c:numCache>
                <c:formatCode>#,##0</c:formatCode>
                <c:ptCount val="7"/>
                <c:pt idx="0">
                  <c:v>235200</c:v>
                </c:pt>
                <c:pt idx="1">
                  <c:v>237794.60783471845</c:v>
                </c:pt>
                <c:pt idx="2">
                  <c:v>240521.56674507578</c:v>
                </c:pt>
                <c:pt idx="3">
                  <c:v>243387.62796607104</c:v>
                </c:pt>
                <c:pt idx="4">
                  <c:v>246399.88711353898</c:v>
                </c:pt>
                <c:pt idx="5">
                  <c:v>249565.8017510334</c:v>
                </c:pt>
                <c:pt idx="6">
                  <c:v>252893.20985279875</c:v>
                </c:pt>
              </c:numCache>
            </c:numRef>
          </c:val>
          <c:smooth val="0"/>
          <c:extLst>
            <c:ext xmlns:c16="http://schemas.microsoft.com/office/drawing/2014/chart" uri="{C3380CC4-5D6E-409C-BE32-E72D297353CC}">
              <c16:uniqueId val="{00000001-000B-4DDB-8662-206D2D972355}"/>
            </c:ext>
          </c:extLst>
        </c:ser>
        <c:ser>
          <c:idx val="2"/>
          <c:order val="2"/>
          <c:tx>
            <c:strRef>
              <c:f>vehicles!$AW$21</c:f>
              <c:strCache>
                <c:ptCount val="1"/>
                <c:pt idx="0">
                  <c:v>MGV24 ICEV</c:v>
                </c:pt>
              </c:strCache>
            </c:strRef>
          </c:tx>
          <c:spPr>
            <a:ln w="28575" cap="rnd">
              <a:solidFill>
                <a:schemeClr val="accent6"/>
              </a:solidFill>
              <a:round/>
            </a:ln>
            <a:effectLst/>
          </c:spPr>
          <c:marker>
            <c:symbol val="none"/>
          </c:marker>
          <c:cat>
            <c:numRef>
              <c:f>vehicles!$AX$18:$BD$18</c:f>
              <c:numCache>
                <c:formatCode>General</c:formatCode>
                <c:ptCount val="7"/>
                <c:pt idx="0">
                  <c:v>2020</c:v>
                </c:pt>
                <c:pt idx="1">
                  <c:v>2025</c:v>
                </c:pt>
                <c:pt idx="2">
                  <c:v>2030</c:v>
                </c:pt>
                <c:pt idx="3">
                  <c:v>2035</c:v>
                </c:pt>
                <c:pt idx="4">
                  <c:v>2040</c:v>
                </c:pt>
                <c:pt idx="5">
                  <c:v>2045</c:v>
                </c:pt>
                <c:pt idx="6">
                  <c:v>2050</c:v>
                </c:pt>
              </c:numCache>
            </c:numRef>
          </c:cat>
          <c:val>
            <c:numRef>
              <c:f>vehicles!$AX$21:$BD$21</c:f>
              <c:numCache>
                <c:formatCode>#,##0</c:formatCode>
                <c:ptCount val="7"/>
                <c:pt idx="0">
                  <c:v>148800</c:v>
                </c:pt>
                <c:pt idx="1">
                  <c:v>150216.88779800967</c:v>
                </c:pt>
                <c:pt idx="2">
                  <c:v>151706.0511135819</c:v>
                </c:pt>
                <c:pt idx="3">
                  <c:v>153271.1767244885</c:v>
                </c:pt>
                <c:pt idx="4">
                  <c:v>154916.13947122029</c:v>
                </c:pt>
                <c:pt idx="5">
                  <c:v>156645.01185007551</c:v>
                </c:pt>
                <c:pt idx="6">
                  <c:v>158462.07409559263</c:v>
                </c:pt>
              </c:numCache>
            </c:numRef>
          </c:val>
          <c:smooth val="0"/>
          <c:extLst>
            <c:ext xmlns:c16="http://schemas.microsoft.com/office/drawing/2014/chart" uri="{C3380CC4-5D6E-409C-BE32-E72D297353CC}">
              <c16:uniqueId val="{00000002-000B-4DDB-8662-206D2D972355}"/>
            </c:ext>
          </c:extLst>
        </c:ser>
        <c:ser>
          <c:idx val="3"/>
          <c:order val="3"/>
          <c:tx>
            <c:strRef>
              <c:f>vehicles!$AW$22</c:f>
              <c:strCache>
                <c:ptCount val="1"/>
                <c:pt idx="0">
                  <c:v>MGV16 ICEV</c:v>
                </c:pt>
              </c:strCache>
            </c:strRef>
          </c:tx>
          <c:spPr>
            <a:ln w="28575" cap="rnd">
              <a:solidFill>
                <a:schemeClr val="accent4"/>
              </a:solidFill>
              <a:round/>
            </a:ln>
            <a:effectLst/>
          </c:spPr>
          <c:marker>
            <c:symbol val="none"/>
          </c:marker>
          <c:cat>
            <c:numRef>
              <c:f>vehicles!$AX$18:$BD$18</c:f>
              <c:numCache>
                <c:formatCode>General</c:formatCode>
                <c:ptCount val="7"/>
                <c:pt idx="0">
                  <c:v>2020</c:v>
                </c:pt>
                <c:pt idx="1">
                  <c:v>2025</c:v>
                </c:pt>
                <c:pt idx="2">
                  <c:v>2030</c:v>
                </c:pt>
                <c:pt idx="3">
                  <c:v>2035</c:v>
                </c:pt>
                <c:pt idx="4">
                  <c:v>2040</c:v>
                </c:pt>
                <c:pt idx="5">
                  <c:v>2045</c:v>
                </c:pt>
                <c:pt idx="6">
                  <c:v>2050</c:v>
                </c:pt>
              </c:numCache>
            </c:numRef>
          </c:cat>
          <c:val>
            <c:numRef>
              <c:f>vehicles!$AX$22:$BD$22</c:f>
              <c:numCache>
                <c:formatCode>#,##0</c:formatCode>
                <c:ptCount val="7"/>
                <c:pt idx="0">
                  <c:v>91200</c:v>
                </c:pt>
                <c:pt idx="1">
                  <c:v>91957.364577452739</c:v>
                </c:pt>
                <c:pt idx="2">
                  <c:v>92753.362359945299</c:v>
                </c:pt>
                <c:pt idx="3">
                  <c:v>93589.964029202296</c:v>
                </c:pt>
                <c:pt idx="4">
                  <c:v>94469.24079152185</c:v>
                </c:pt>
                <c:pt idx="5">
                  <c:v>95393.369505539085</c:v>
                </c:pt>
                <c:pt idx="6">
                  <c:v>96364.638071557187</c:v>
                </c:pt>
              </c:numCache>
            </c:numRef>
          </c:val>
          <c:smooth val="0"/>
          <c:extLst>
            <c:ext xmlns:c16="http://schemas.microsoft.com/office/drawing/2014/chart" uri="{C3380CC4-5D6E-409C-BE32-E72D297353CC}">
              <c16:uniqueId val="{00000003-000B-4DDB-8662-206D2D972355}"/>
            </c:ext>
          </c:extLst>
        </c:ser>
        <c:ser>
          <c:idx val="4"/>
          <c:order val="4"/>
          <c:tx>
            <c:strRef>
              <c:f>vehicles!$AW$23</c:f>
              <c:strCache>
                <c:ptCount val="1"/>
                <c:pt idx="0">
                  <c:v>HGV60 BEV (excl. bat.)</c:v>
                </c:pt>
              </c:strCache>
            </c:strRef>
          </c:tx>
          <c:spPr>
            <a:ln w="28575" cap="rnd">
              <a:solidFill>
                <a:schemeClr val="tx2"/>
              </a:solidFill>
              <a:prstDash val="dash"/>
              <a:round/>
            </a:ln>
            <a:effectLst/>
          </c:spPr>
          <c:marker>
            <c:symbol val="none"/>
          </c:marker>
          <c:cat>
            <c:numRef>
              <c:f>vehicles!$AX$18:$BD$18</c:f>
              <c:numCache>
                <c:formatCode>General</c:formatCode>
                <c:ptCount val="7"/>
                <c:pt idx="0">
                  <c:v>2020</c:v>
                </c:pt>
                <c:pt idx="1">
                  <c:v>2025</c:v>
                </c:pt>
                <c:pt idx="2">
                  <c:v>2030</c:v>
                </c:pt>
                <c:pt idx="3">
                  <c:v>2035</c:v>
                </c:pt>
                <c:pt idx="4">
                  <c:v>2040</c:v>
                </c:pt>
                <c:pt idx="5">
                  <c:v>2045</c:v>
                </c:pt>
                <c:pt idx="6">
                  <c:v>2050</c:v>
                </c:pt>
              </c:numCache>
            </c:numRef>
          </c:cat>
          <c:val>
            <c:numRef>
              <c:f>vehicles!$AX$23:$BD$23</c:f>
              <c:numCache>
                <c:formatCode>#,##0</c:formatCode>
                <c:ptCount val="7"/>
                <c:pt idx="0">
                  <c:v>215794.56</c:v>
                </c:pt>
                <c:pt idx="1">
                  <c:v>213303.2646927053</c:v>
                </c:pt>
                <c:pt idx="2">
                  <c:v>211051.33105347131</c:v>
                </c:pt>
                <c:pt idx="3">
                  <c:v>209015.76140395424</c:v>
                </c:pt>
                <c:pt idx="4">
                  <c:v>207175.76766442088</c:v>
                </c:pt>
                <c:pt idx="5">
                  <c:v>205512.55905727489</c:v>
                </c:pt>
                <c:pt idx="6">
                  <c:v>204009.15020785888</c:v>
                </c:pt>
              </c:numCache>
            </c:numRef>
          </c:val>
          <c:smooth val="0"/>
          <c:extLst>
            <c:ext xmlns:c16="http://schemas.microsoft.com/office/drawing/2014/chart" uri="{C3380CC4-5D6E-409C-BE32-E72D297353CC}">
              <c16:uniqueId val="{00000004-000B-4DDB-8662-206D2D972355}"/>
            </c:ext>
          </c:extLst>
        </c:ser>
        <c:ser>
          <c:idx val="5"/>
          <c:order val="5"/>
          <c:tx>
            <c:strRef>
              <c:f>vehicles!$AW$24</c:f>
              <c:strCache>
                <c:ptCount val="1"/>
                <c:pt idx="0">
                  <c:v>HGV40 BEV (excl. bat.)</c:v>
                </c:pt>
              </c:strCache>
            </c:strRef>
          </c:tx>
          <c:spPr>
            <a:ln w="28575" cap="rnd">
              <a:solidFill>
                <a:schemeClr val="accent2"/>
              </a:solidFill>
              <a:prstDash val="dash"/>
              <a:round/>
            </a:ln>
            <a:effectLst/>
          </c:spPr>
          <c:marker>
            <c:symbol val="none"/>
          </c:marker>
          <c:cat>
            <c:numRef>
              <c:f>vehicles!$AX$18:$BD$18</c:f>
              <c:numCache>
                <c:formatCode>General</c:formatCode>
                <c:ptCount val="7"/>
                <c:pt idx="0">
                  <c:v>2020</c:v>
                </c:pt>
                <c:pt idx="1">
                  <c:v>2025</c:v>
                </c:pt>
                <c:pt idx="2">
                  <c:v>2030</c:v>
                </c:pt>
                <c:pt idx="3">
                  <c:v>2035</c:v>
                </c:pt>
                <c:pt idx="4">
                  <c:v>2040</c:v>
                </c:pt>
                <c:pt idx="5">
                  <c:v>2045</c:v>
                </c:pt>
                <c:pt idx="6">
                  <c:v>2050</c:v>
                </c:pt>
              </c:numCache>
            </c:numRef>
          </c:cat>
          <c:val>
            <c:numRef>
              <c:f>vehicles!$AX$24:$BD$24</c:f>
              <c:numCache>
                <c:formatCode>#,##0</c:formatCode>
                <c:ptCount val="7"/>
                <c:pt idx="0">
                  <c:v>204865.91999999998</c:v>
                </c:pt>
                <c:pt idx="1">
                  <c:v>202893.3601539502</c:v>
                </c:pt>
                <c:pt idx="2">
                  <c:v>201110.32228617318</c:v>
                </c:pt>
                <c:pt idx="3">
                  <c:v>199498.59727600761</c:v>
                </c:pt>
                <c:pt idx="4">
                  <c:v>198041.72552059629</c:v>
                </c:pt>
                <c:pt idx="5">
                  <c:v>196724.82884260942</c:v>
                </c:pt>
                <c:pt idx="6">
                  <c:v>195534.45854814028</c:v>
                </c:pt>
              </c:numCache>
            </c:numRef>
          </c:val>
          <c:smooth val="0"/>
          <c:extLst>
            <c:ext xmlns:c16="http://schemas.microsoft.com/office/drawing/2014/chart" uri="{C3380CC4-5D6E-409C-BE32-E72D297353CC}">
              <c16:uniqueId val="{00000005-000B-4DDB-8662-206D2D972355}"/>
            </c:ext>
          </c:extLst>
        </c:ser>
        <c:ser>
          <c:idx val="6"/>
          <c:order val="6"/>
          <c:tx>
            <c:strRef>
              <c:f>vehicles!$AW$25</c:f>
              <c:strCache>
                <c:ptCount val="1"/>
                <c:pt idx="0">
                  <c:v>MGV24 BEV (excl. bat.)</c:v>
                </c:pt>
              </c:strCache>
            </c:strRef>
          </c:tx>
          <c:spPr>
            <a:ln w="28575" cap="rnd">
              <a:solidFill>
                <a:schemeClr val="accent6"/>
              </a:solidFill>
              <a:prstDash val="dash"/>
              <a:round/>
            </a:ln>
            <a:effectLst/>
          </c:spPr>
          <c:marker>
            <c:symbol val="none"/>
          </c:marker>
          <c:cat>
            <c:numRef>
              <c:f>vehicles!$AX$18:$BD$18</c:f>
              <c:numCache>
                <c:formatCode>General</c:formatCode>
                <c:ptCount val="7"/>
                <c:pt idx="0">
                  <c:v>2020</c:v>
                </c:pt>
                <c:pt idx="1">
                  <c:v>2025</c:v>
                </c:pt>
                <c:pt idx="2">
                  <c:v>2030</c:v>
                </c:pt>
                <c:pt idx="3">
                  <c:v>2035</c:v>
                </c:pt>
                <c:pt idx="4">
                  <c:v>2040</c:v>
                </c:pt>
                <c:pt idx="5">
                  <c:v>2045</c:v>
                </c:pt>
                <c:pt idx="6">
                  <c:v>2050</c:v>
                </c:pt>
              </c:numCache>
            </c:numRef>
          </c:cat>
          <c:val>
            <c:numRef>
              <c:f>vehicles!$AX$25:$BD$25</c:f>
              <c:numCache>
                <c:formatCode>#,##0</c:formatCode>
                <c:ptCount val="7"/>
                <c:pt idx="0">
                  <c:v>134805.12</c:v>
                </c:pt>
                <c:pt idx="1">
                  <c:v>133480.97948050639</c:v>
                </c:pt>
                <c:pt idx="2">
                  <c:v>132284.06132705053</c:v>
                </c:pt>
                <c:pt idx="3">
                  <c:v>131202.1421160743</c:v>
                </c:pt>
                <c:pt idx="4">
                  <c:v>130224.17284081547</c:v>
                </c:pt>
                <c:pt idx="5">
                  <c:v>129340.1660742776</c:v>
                </c:pt>
                <c:pt idx="6">
                  <c:v>128541.0939734921</c:v>
                </c:pt>
              </c:numCache>
            </c:numRef>
          </c:val>
          <c:smooth val="0"/>
          <c:extLst>
            <c:ext xmlns:c16="http://schemas.microsoft.com/office/drawing/2014/chart" uri="{C3380CC4-5D6E-409C-BE32-E72D297353CC}">
              <c16:uniqueId val="{00000006-000B-4DDB-8662-206D2D972355}"/>
            </c:ext>
          </c:extLst>
        </c:ser>
        <c:ser>
          <c:idx val="7"/>
          <c:order val="7"/>
          <c:tx>
            <c:strRef>
              <c:f>vehicles!$AW$26</c:f>
              <c:strCache>
                <c:ptCount val="1"/>
                <c:pt idx="0">
                  <c:v>MGV16 BEV (excl. bat.)</c:v>
                </c:pt>
              </c:strCache>
            </c:strRef>
          </c:tx>
          <c:spPr>
            <a:ln w="28575" cap="rnd">
              <a:solidFill>
                <a:schemeClr val="accent4"/>
              </a:solidFill>
              <a:prstDash val="dash"/>
              <a:round/>
            </a:ln>
            <a:effectLst/>
          </c:spPr>
          <c:marker>
            <c:symbol val="none"/>
          </c:marker>
          <c:cat>
            <c:numRef>
              <c:f>vehicles!$AX$18:$BD$18</c:f>
              <c:numCache>
                <c:formatCode>General</c:formatCode>
                <c:ptCount val="7"/>
                <c:pt idx="0">
                  <c:v>2020</c:v>
                </c:pt>
                <c:pt idx="1">
                  <c:v>2025</c:v>
                </c:pt>
                <c:pt idx="2">
                  <c:v>2030</c:v>
                </c:pt>
                <c:pt idx="3">
                  <c:v>2035</c:v>
                </c:pt>
                <c:pt idx="4">
                  <c:v>2040</c:v>
                </c:pt>
                <c:pt idx="5">
                  <c:v>2045</c:v>
                </c:pt>
                <c:pt idx="6">
                  <c:v>2050</c:v>
                </c:pt>
              </c:numCache>
            </c:numRef>
          </c:cat>
          <c:val>
            <c:numRef>
              <c:f>vehicles!$AX$26:$BD$26</c:f>
              <c:numCache>
                <c:formatCode>#,##0</c:formatCode>
                <c:ptCount val="7"/>
                <c:pt idx="0">
                  <c:v>86355.072</c:v>
                </c:pt>
                <c:pt idx="1">
                  <c:v>85394.046303377821</c:v>
                </c:pt>
                <c:pt idx="2">
                  <c:v>84525.355189941809</c:v>
                </c:pt>
                <c:pt idx="3">
                  <c:v>83740.127226511671</c:v>
                </c:pt>
                <c:pt idx="4">
                  <c:v>83030.34334013825</c:v>
                </c:pt>
                <c:pt idx="5">
                  <c:v>82388.754924011795</c:v>
                </c:pt>
                <c:pt idx="6">
                  <c:v>81808.809811689105</c:v>
                </c:pt>
              </c:numCache>
            </c:numRef>
          </c:val>
          <c:smooth val="0"/>
          <c:extLst>
            <c:ext xmlns:c16="http://schemas.microsoft.com/office/drawing/2014/chart" uri="{C3380CC4-5D6E-409C-BE32-E72D297353CC}">
              <c16:uniqueId val="{00000007-000B-4DDB-8662-206D2D972355}"/>
            </c:ext>
          </c:extLst>
        </c:ser>
        <c:ser>
          <c:idx val="8"/>
          <c:order val="8"/>
          <c:tx>
            <c:strRef>
              <c:f>vehicles!$AW$27</c:f>
              <c:strCache>
                <c:ptCount val="1"/>
                <c:pt idx="0">
                  <c:v>HGV60BEV (590 km)</c:v>
                </c:pt>
              </c:strCache>
            </c:strRef>
          </c:tx>
          <c:spPr>
            <a:ln w="28575" cap="rnd">
              <a:solidFill>
                <a:schemeClr val="accent1">
                  <a:lumMod val="50000"/>
                </a:schemeClr>
              </a:solidFill>
              <a:prstDash val="sysDot"/>
              <a:round/>
            </a:ln>
            <a:effectLst/>
          </c:spPr>
          <c:marker>
            <c:symbol val="none"/>
          </c:marker>
          <c:cat>
            <c:numRef>
              <c:f>vehicles!$AX$18:$BD$18</c:f>
              <c:numCache>
                <c:formatCode>General</c:formatCode>
                <c:ptCount val="7"/>
                <c:pt idx="0">
                  <c:v>2020</c:v>
                </c:pt>
                <c:pt idx="1">
                  <c:v>2025</c:v>
                </c:pt>
                <c:pt idx="2">
                  <c:v>2030</c:v>
                </c:pt>
                <c:pt idx="3">
                  <c:v>2035</c:v>
                </c:pt>
                <c:pt idx="4">
                  <c:v>2040</c:v>
                </c:pt>
                <c:pt idx="5">
                  <c:v>2045</c:v>
                </c:pt>
                <c:pt idx="6">
                  <c:v>2050</c:v>
                </c:pt>
              </c:numCache>
            </c:numRef>
          </c:cat>
          <c:val>
            <c:numRef>
              <c:f>vehicles!$AX$27:$BD$27</c:f>
              <c:numCache>
                <c:formatCode>#,##0</c:formatCode>
                <c:ptCount val="7"/>
                <c:pt idx="0">
                  <c:v>572946.65929411747</c:v>
                </c:pt>
                <c:pt idx="1">
                  <c:v>421769.94540655834</c:v>
                </c:pt>
                <c:pt idx="2">
                  <c:v>352357.5516836117</c:v>
                </c:pt>
                <c:pt idx="3">
                  <c:v>311601.11020875792</c:v>
                </c:pt>
                <c:pt idx="4">
                  <c:v>284819.54101308156</c:v>
                </c:pt>
                <c:pt idx="5">
                  <c:v>266165.39836655767</c:v>
                </c:pt>
                <c:pt idx="6">
                  <c:v>252727.02412823294</c:v>
                </c:pt>
              </c:numCache>
            </c:numRef>
          </c:val>
          <c:smooth val="0"/>
          <c:extLst>
            <c:ext xmlns:c16="http://schemas.microsoft.com/office/drawing/2014/chart" uri="{C3380CC4-5D6E-409C-BE32-E72D297353CC}">
              <c16:uniqueId val="{00000008-000B-4DDB-8662-206D2D972355}"/>
            </c:ext>
          </c:extLst>
        </c:ser>
        <c:ser>
          <c:idx val="10"/>
          <c:order val="9"/>
          <c:tx>
            <c:strRef>
              <c:f>vehicles!$AW$28</c:f>
              <c:strCache>
                <c:ptCount val="1"/>
                <c:pt idx="0">
                  <c:v>HGV40BEV (750 km)</c:v>
                </c:pt>
              </c:strCache>
            </c:strRef>
          </c:tx>
          <c:spPr>
            <a:ln w="28575" cap="rnd">
              <a:solidFill>
                <a:schemeClr val="accent2"/>
              </a:solidFill>
              <a:prstDash val="sysDot"/>
              <a:round/>
            </a:ln>
            <a:effectLst/>
          </c:spPr>
          <c:marker>
            <c:symbol val="none"/>
          </c:marker>
          <c:cat>
            <c:numRef>
              <c:f>vehicles!$AX$18:$BD$18</c:f>
              <c:numCache>
                <c:formatCode>General</c:formatCode>
                <c:ptCount val="7"/>
                <c:pt idx="0">
                  <c:v>2020</c:v>
                </c:pt>
                <c:pt idx="1">
                  <c:v>2025</c:v>
                </c:pt>
                <c:pt idx="2">
                  <c:v>2030</c:v>
                </c:pt>
                <c:pt idx="3">
                  <c:v>2035</c:v>
                </c:pt>
                <c:pt idx="4">
                  <c:v>2040</c:v>
                </c:pt>
                <c:pt idx="5">
                  <c:v>2045</c:v>
                </c:pt>
                <c:pt idx="6">
                  <c:v>2050</c:v>
                </c:pt>
              </c:numCache>
            </c:numRef>
          </c:cat>
          <c:val>
            <c:numRef>
              <c:f>vehicles!$AX$28:$BD$28</c:f>
              <c:numCache>
                <c:formatCode>#,##0</c:formatCode>
                <c:ptCount val="7"/>
                <c:pt idx="0">
                  <c:v>555099.81882352941</c:v>
                </c:pt>
                <c:pt idx="1">
                  <c:v>407321.94535760756</c:v>
                </c:pt>
                <c:pt idx="2">
                  <c:v>339679.37641500332</c:v>
                </c:pt>
                <c:pt idx="3">
                  <c:v>300096.820680234</c:v>
                </c:pt>
                <c:pt idx="4">
                  <c:v>274181.5032595977</c:v>
                </c:pt>
                <c:pt idx="5">
                  <c:v>256202.79475122812</c:v>
                </c:pt>
                <c:pt idx="6">
                  <c:v>243308.64483809547</c:v>
                </c:pt>
              </c:numCache>
            </c:numRef>
          </c:val>
          <c:smooth val="0"/>
          <c:extLst>
            <c:ext xmlns:c16="http://schemas.microsoft.com/office/drawing/2014/chart" uri="{C3380CC4-5D6E-409C-BE32-E72D297353CC}">
              <c16:uniqueId val="{0000000A-000B-4DDB-8662-206D2D972355}"/>
            </c:ext>
          </c:extLst>
        </c:ser>
        <c:ser>
          <c:idx val="11"/>
          <c:order val="10"/>
          <c:tx>
            <c:strRef>
              <c:f>vehicles!$AW$29</c:f>
              <c:strCache>
                <c:ptCount val="1"/>
                <c:pt idx="0">
                  <c:v>MGV24BEV (520 km)</c:v>
                </c:pt>
              </c:strCache>
            </c:strRef>
          </c:tx>
          <c:spPr>
            <a:ln w="28575" cap="rnd">
              <a:solidFill>
                <a:schemeClr val="accent6"/>
              </a:solidFill>
              <a:prstDash val="sysDot"/>
              <a:round/>
            </a:ln>
            <a:effectLst/>
          </c:spPr>
          <c:marker>
            <c:symbol val="none"/>
          </c:marker>
          <c:cat>
            <c:numRef>
              <c:f>vehicles!$AX$18:$BD$18</c:f>
              <c:numCache>
                <c:formatCode>General</c:formatCode>
                <c:ptCount val="7"/>
                <c:pt idx="0">
                  <c:v>2020</c:v>
                </c:pt>
                <c:pt idx="1">
                  <c:v>2025</c:v>
                </c:pt>
                <c:pt idx="2">
                  <c:v>2030</c:v>
                </c:pt>
                <c:pt idx="3">
                  <c:v>2035</c:v>
                </c:pt>
                <c:pt idx="4">
                  <c:v>2040</c:v>
                </c:pt>
                <c:pt idx="5">
                  <c:v>2045</c:v>
                </c:pt>
                <c:pt idx="6">
                  <c:v>2050</c:v>
                </c:pt>
              </c:numCache>
            </c:numRef>
          </c:cat>
          <c:val>
            <c:numRef>
              <c:f>vehicles!$AX$29:$BD$29</c:f>
              <c:numCache>
                <c:formatCode>#,##0</c:formatCode>
                <c:ptCount val="7"/>
                <c:pt idx="0">
                  <c:v>273307.49342117645</c:v>
                </c:pt>
                <c:pt idx="1">
                  <c:v>214323.65159462433</c:v>
                </c:pt>
                <c:pt idx="2">
                  <c:v>187082.13468328124</c:v>
                </c:pt>
                <c:pt idx="3">
                  <c:v>170984.39263563207</c:v>
                </c:pt>
                <c:pt idx="4">
                  <c:v>160334.16494619439</c:v>
                </c:pt>
                <c:pt idx="5">
                  <c:v>152861.13155557233</c:v>
                </c:pt>
                <c:pt idx="6">
                  <c:v>147433.72033447784</c:v>
                </c:pt>
              </c:numCache>
            </c:numRef>
          </c:val>
          <c:smooth val="0"/>
          <c:extLst>
            <c:ext xmlns:c16="http://schemas.microsoft.com/office/drawing/2014/chart" uri="{C3380CC4-5D6E-409C-BE32-E72D297353CC}">
              <c16:uniqueId val="{0000000B-000B-4DDB-8662-206D2D972355}"/>
            </c:ext>
          </c:extLst>
        </c:ser>
        <c:ser>
          <c:idx val="9"/>
          <c:order val="11"/>
          <c:tx>
            <c:strRef>
              <c:f>vehicles!$AW$30</c:f>
              <c:strCache>
                <c:ptCount val="1"/>
                <c:pt idx="0">
                  <c:v>MGV16BEV (270 km)</c:v>
                </c:pt>
              </c:strCache>
            </c:strRef>
          </c:tx>
          <c:spPr>
            <a:ln w="28575" cap="rnd">
              <a:solidFill>
                <a:schemeClr val="accent4"/>
              </a:solidFill>
              <a:prstDash val="sysDot"/>
              <a:round/>
            </a:ln>
            <a:effectLst/>
          </c:spPr>
          <c:marker>
            <c:symbol val="none"/>
          </c:marker>
          <c:cat>
            <c:numRef>
              <c:f>vehicles!$AX$18:$BD$18</c:f>
              <c:numCache>
                <c:formatCode>General</c:formatCode>
                <c:ptCount val="7"/>
                <c:pt idx="0">
                  <c:v>2020</c:v>
                </c:pt>
                <c:pt idx="1">
                  <c:v>2025</c:v>
                </c:pt>
                <c:pt idx="2">
                  <c:v>2030</c:v>
                </c:pt>
                <c:pt idx="3">
                  <c:v>2035</c:v>
                </c:pt>
                <c:pt idx="4">
                  <c:v>2040</c:v>
                </c:pt>
                <c:pt idx="5">
                  <c:v>2045</c:v>
                </c:pt>
                <c:pt idx="6">
                  <c:v>2050</c:v>
                </c:pt>
              </c:numCache>
            </c:numRef>
          </c:cat>
          <c:val>
            <c:numRef>
              <c:f>vehicles!$AX$30:$BD$30</c:f>
              <c:numCache>
                <c:formatCode>#,##0</c:formatCode>
                <c:ptCount val="7"/>
                <c:pt idx="0">
                  <c:v>138656.66755764704</c:v>
                </c:pt>
                <c:pt idx="1">
                  <c:v>115922.04836045732</c:v>
                </c:pt>
                <c:pt idx="2">
                  <c:v>105218.33393984711</c:v>
                </c:pt>
                <c:pt idx="3">
                  <c:v>98762.795254876153</c:v>
                </c:pt>
                <c:pt idx="4">
                  <c:v>94400.55014916246</c:v>
                </c:pt>
                <c:pt idx="5">
                  <c:v>91270.797833032178</c:v>
                </c:pt>
                <c:pt idx="6">
                  <c:v>88943.088297655748</c:v>
                </c:pt>
              </c:numCache>
            </c:numRef>
          </c:val>
          <c:smooth val="0"/>
          <c:extLst>
            <c:ext xmlns:c16="http://schemas.microsoft.com/office/drawing/2014/chart" uri="{C3380CC4-5D6E-409C-BE32-E72D297353CC}">
              <c16:uniqueId val="{00000009-000B-4DDB-8662-206D2D972355}"/>
            </c:ext>
          </c:extLst>
        </c:ser>
        <c:dLbls>
          <c:showLegendKey val="0"/>
          <c:showVal val="0"/>
          <c:showCatName val="0"/>
          <c:showSerName val="0"/>
          <c:showPercent val="0"/>
          <c:showBubbleSize val="0"/>
        </c:dLbls>
        <c:smooth val="0"/>
        <c:axId val="1064649919"/>
        <c:axId val="954407376"/>
      </c:lineChart>
      <c:catAx>
        <c:axId val="106464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Code Pro Bold" panose="00000500000000000000" pitchFamily="2" charset="0"/>
                <a:ea typeface="+mn-ea"/>
                <a:cs typeface="Latha" panose="020B0604020202020204" pitchFamily="34" charset="0"/>
              </a:defRPr>
            </a:pPr>
            <a:endParaRPr lang="en-US"/>
          </a:p>
        </c:txPr>
        <c:crossAx val="954407376"/>
        <c:crosses val="autoZero"/>
        <c:auto val="1"/>
        <c:lblAlgn val="ctr"/>
        <c:lblOffset val="100"/>
        <c:noMultiLvlLbl val="0"/>
      </c:catAx>
      <c:valAx>
        <c:axId val="954407376"/>
        <c:scaling>
          <c:orientation val="minMax"/>
          <c:max val="6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Lato" panose="020F0502020204030203" pitchFamily="34" charset="0"/>
                    <a:ea typeface="+mn-ea"/>
                    <a:cs typeface="Latha" panose="020B0604020202020204" pitchFamily="34" charset="0"/>
                  </a:defRPr>
                </a:pPr>
                <a:r>
                  <a:rPr lang="en-US"/>
                  <a:t>€ / truck</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Lato" panose="020F0502020204030203" pitchFamily="34" charset="0"/>
                  <a:ea typeface="+mn-ea"/>
                  <a:cs typeface="Latha" panose="020B0604020202020204"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ato" panose="020F0502020204030203" pitchFamily="34" charset="0"/>
                <a:ea typeface="+mn-ea"/>
                <a:cs typeface="Latha" panose="020B0604020202020204" pitchFamily="34" charset="0"/>
              </a:defRPr>
            </a:pPr>
            <a:endParaRPr lang="en-US"/>
          </a:p>
        </c:txPr>
        <c:crossAx val="1064649919"/>
        <c:crosses val="autoZero"/>
        <c:crossBetween val="between"/>
      </c:valAx>
      <c:spPr>
        <a:noFill/>
        <a:ln>
          <a:noFill/>
        </a:ln>
        <a:effectLst/>
      </c:spPr>
    </c:plotArea>
    <c:legend>
      <c:legendPos val="r"/>
      <c:layout>
        <c:manualLayout>
          <c:xMode val="edge"/>
          <c:yMode val="edge"/>
          <c:x val="0.62436666996268564"/>
          <c:y val="0.11705490075973879"/>
          <c:w val="0.35977080525211941"/>
          <c:h val="0.824610399233345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Lato" panose="020F0502020204030203" pitchFamily="34" charset="0"/>
              <a:ea typeface="+mn-ea"/>
              <a:cs typeface="Latha"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Lato" panose="020F0502020204030203" pitchFamily="34" charset="0"/>
          <a:cs typeface="Latha" panose="020B0604020202020204" pitchFamily="34" charset="0"/>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EUR/liter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'fuel price references'!$B$1</c:f>
              <c:strCache>
                <c:ptCount val="1"/>
                <c:pt idx="0">
                  <c:v>Gasoline (Euro 95)</c:v>
                </c:pt>
              </c:strCache>
            </c:strRef>
          </c:tx>
          <c:spPr>
            <a:ln w="19050" cap="rnd">
              <a:noFill/>
              <a:round/>
            </a:ln>
            <a:effectLst/>
          </c:spPr>
          <c:marker>
            <c:symbol val="circle"/>
            <c:size val="5"/>
            <c:spPr>
              <a:solidFill>
                <a:schemeClr val="accent1"/>
              </a:solidFill>
              <a:ln w="9525">
                <a:solidFill>
                  <a:schemeClr val="accent1"/>
                </a:solidFill>
              </a:ln>
              <a:effectLst/>
            </c:spPr>
          </c:marker>
          <c:xVal>
            <c:strRef>
              <c:f>'fuel price references'!$A$2:$A$42</c:f>
              <c:strCache>
                <c:ptCount val="41"/>
                <c:pt idx="0">
                  <c:v>  Russia</c:v>
                </c:pt>
                <c:pt idx="1">
                  <c:v>  Belarus</c:v>
                </c:pt>
                <c:pt idx="2">
                  <c:v>  Turkey</c:v>
                </c:pt>
                <c:pt idx="3">
                  <c:v>  Moldova</c:v>
                </c:pt>
                <c:pt idx="4">
                  <c:v>  Ukraine</c:v>
                </c:pt>
                <c:pt idx="5">
                  <c:v>  Malta</c:v>
                </c:pt>
                <c:pt idx="6">
                  <c:v>  Bulgaria</c:v>
                </c:pt>
                <c:pt idx="7">
                  <c:v>  Bosnia and Herzegovina</c:v>
                </c:pt>
                <c:pt idx="8">
                  <c:v>  Andorra</c:v>
                </c:pt>
                <c:pt idx="9">
                  <c:v>  Romania</c:v>
                </c:pt>
                <c:pt idx="10">
                  <c:v>  Slovenia</c:v>
                </c:pt>
                <c:pt idx="11">
                  <c:v>  Poland</c:v>
                </c:pt>
                <c:pt idx="12">
                  <c:v>  Cyprus</c:v>
                </c:pt>
                <c:pt idx="13">
                  <c:v>  Czechia</c:v>
                </c:pt>
                <c:pt idx="14">
                  <c:v>  Luxembourg</c:v>
                </c:pt>
                <c:pt idx="15">
                  <c:v>  Lithuania</c:v>
                </c:pt>
                <c:pt idx="16">
                  <c:v>  Portugal</c:v>
                </c:pt>
                <c:pt idx="17">
                  <c:v>  Slovakia</c:v>
                </c:pt>
                <c:pt idx="18">
                  <c:v>  Croatia</c:v>
                </c:pt>
                <c:pt idx="19">
                  <c:v>  Spain</c:v>
                </c:pt>
                <c:pt idx="20">
                  <c:v>  Latvia</c:v>
                </c:pt>
                <c:pt idx="21">
                  <c:v>  Estonia</c:v>
                </c:pt>
                <c:pt idx="22">
                  <c:v>  Hungary</c:v>
                </c:pt>
                <c:pt idx="23">
                  <c:v>  Austria</c:v>
                </c:pt>
                <c:pt idx="24">
                  <c:v>  Ireland</c:v>
                </c:pt>
                <c:pt idx="25">
                  <c:v>  Netherlands</c:v>
                </c:pt>
                <c:pt idx="26">
                  <c:v>  San Marino</c:v>
                </c:pt>
                <c:pt idx="27">
                  <c:v>  Albania</c:v>
                </c:pt>
                <c:pt idx="28">
                  <c:v>  Serbia</c:v>
                </c:pt>
                <c:pt idx="29">
                  <c:v>  Greece</c:v>
                </c:pt>
                <c:pt idx="30">
                  <c:v>  Germany</c:v>
                </c:pt>
                <c:pt idx="31">
                  <c:v>  Belgium</c:v>
                </c:pt>
                <c:pt idx="32">
                  <c:v>  Norway</c:v>
                </c:pt>
                <c:pt idx="33">
                  <c:v>  Denmark</c:v>
                </c:pt>
                <c:pt idx="34">
                  <c:v>  Italy</c:v>
                </c:pt>
                <c:pt idx="35">
                  <c:v>  France</c:v>
                </c:pt>
                <c:pt idx="36">
                  <c:v>  United Kingdom</c:v>
                </c:pt>
                <c:pt idx="37">
                  <c:v>  Finland</c:v>
                </c:pt>
                <c:pt idx="38">
                  <c:v>  Sweden</c:v>
                </c:pt>
                <c:pt idx="39">
                  <c:v>  Switzerland</c:v>
                </c:pt>
                <c:pt idx="40">
                  <c:v>  Iceland</c:v>
                </c:pt>
              </c:strCache>
            </c:strRef>
          </c:xVal>
          <c:yVal>
            <c:numRef>
              <c:f>'fuel price references'!$B$2:$B$42</c:f>
              <c:numCache>
                <c:formatCode>General</c:formatCode>
                <c:ptCount val="41"/>
                <c:pt idx="0">
                  <c:v>0.57099999999999995</c:v>
                </c:pt>
                <c:pt idx="1">
                  <c:v>0.87</c:v>
                </c:pt>
                <c:pt idx="2">
                  <c:v>1.06</c:v>
                </c:pt>
                <c:pt idx="3">
                  <c:v>1.2569999999999999</c:v>
                </c:pt>
                <c:pt idx="4">
                  <c:v>1.1599999999999999</c:v>
                </c:pt>
                <c:pt idx="5">
                  <c:v>1.34</c:v>
                </c:pt>
                <c:pt idx="6">
                  <c:v>1.3080000000000001</c:v>
                </c:pt>
                <c:pt idx="7">
                  <c:v>1.3660000000000001</c:v>
                </c:pt>
                <c:pt idx="8">
                  <c:v>1.5</c:v>
                </c:pt>
                <c:pt idx="9">
                  <c:v>1.3879999999999999</c:v>
                </c:pt>
                <c:pt idx="10">
                  <c:v>1.3740000000000001</c:v>
                </c:pt>
                <c:pt idx="11">
                  <c:v>1.4670000000000001</c:v>
                </c:pt>
                <c:pt idx="12">
                  <c:v>1.4139999999999999</c:v>
                </c:pt>
                <c:pt idx="13">
                  <c:v>1.6040000000000001</c:v>
                </c:pt>
                <c:pt idx="14">
                  <c:v>1.633</c:v>
                </c:pt>
                <c:pt idx="15">
                  <c:v>1.5449999999999999</c:v>
                </c:pt>
                <c:pt idx="16">
                  <c:v>1.712</c:v>
                </c:pt>
                <c:pt idx="17">
                  <c:v>1.6060000000000001</c:v>
                </c:pt>
                <c:pt idx="18">
                  <c:v>1.51</c:v>
                </c:pt>
                <c:pt idx="19">
                  <c:v>1.641</c:v>
                </c:pt>
                <c:pt idx="20">
                  <c:v>1.643</c:v>
                </c:pt>
                <c:pt idx="21">
                  <c:v>1.6890000000000001</c:v>
                </c:pt>
                <c:pt idx="22">
                  <c:v>1.647</c:v>
                </c:pt>
                <c:pt idx="23">
                  <c:v>1.6160000000000001</c:v>
                </c:pt>
                <c:pt idx="24">
                  <c:v>1.6060000000000001</c:v>
                </c:pt>
                <c:pt idx="25">
                  <c:v>1.8779999999999999</c:v>
                </c:pt>
                <c:pt idx="26">
                  <c:v>1.7749999999999999</c:v>
                </c:pt>
                <c:pt idx="27">
                  <c:v>1.6619999999999999</c:v>
                </c:pt>
                <c:pt idx="28">
                  <c:v>1.5089999999999999</c:v>
                </c:pt>
                <c:pt idx="29">
                  <c:v>1.948</c:v>
                </c:pt>
                <c:pt idx="30">
                  <c:v>1.823</c:v>
                </c:pt>
                <c:pt idx="31">
                  <c:v>1.754</c:v>
                </c:pt>
                <c:pt idx="32">
                  <c:v>2.0139999999999998</c:v>
                </c:pt>
                <c:pt idx="33">
                  <c:v>2.008</c:v>
                </c:pt>
                <c:pt idx="34">
                  <c:v>1.887</c:v>
                </c:pt>
                <c:pt idx="35">
                  <c:v>1.9359999999999999</c:v>
                </c:pt>
                <c:pt idx="36">
                  <c:v>1.6539999999999999</c:v>
                </c:pt>
                <c:pt idx="37">
                  <c:v>1.9390000000000001</c:v>
                </c:pt>
                <c:pt idx="38">
                  <c:v>1.7949999999999999</c:v>
                </c:pt>
                <c:pt idx="39">
                  <c:v>1.8460000000000001</c:v>
                </c:pt>
                <c:pt idx="40">
                  <c:v>2.141</c:v>
                </c:pt>
              </c:numCache>
            </c:numRef>
          </c:yVal>
          <c:smooth val="0"/>
          <c:extLst>
            <c:ext xmlns:c16="http://schemas.microsoft.com/office/drawing/2014/chart" uri="{C3380CC4-5D6E-409C-BE32-E72D297353CC}">
              <c16:uniqueId val="{00000000-5273-4CB1-9ED2-A4F7FEEEA944}"/>
            </c:ext>
          </c:extLst>
        </c:ser>
        <c:ser>
          <c:idx val="1"/>
          <c:order val="1"/>
          <c:tx>
            <c:strRef>
              <c:f>'fuel price references'!$C$1</c:f>
              <c:strCache>
                <c:ptCount val="1"/>
                <c:pt idx="0">
                  <c:v>Diesel</c:v>
                </c:pt>
              </c:strCache>
            </c:strRef>
          </c:tx>
          <c:spPr>
            <a:ln w="19050" cap="rnd">
              <a:noFill/>
              <a:round/>
            </a:ln>
            <a:effectLst/>
          </c:spPr>
          <c:marker>
            <c:symbol val="circle"/>
            <c:size val="5"/>
            <c:spPr>
              <a:solidFill>
                <a:schemeClr val="accent2"/>
              </a:solidFill>
              <a:ln w="9525">
                <a:solidFill>
                  <a:schemeClr val="accent2"/>
                </a:solidFill>
              </a:ln>
              <a:effectLst/>
            </c:spPr>
          </c:marker>
          <c:xVal>
            <c:strRef>
              <c:f>'fuel price references'!$A$2:$A$42</c:f>
              <c:strCache>
                <c:ptCount val="41"/>
                <c:pt idx="0">
                  <c:v>  Russia</c:v>
                </c:pt>
                <c:pt idx="1">
                  <c:v>  Belarus</c:v>
                </c:pt>
                <c:pt idx="2">
                  <c:v>  Turkey</c:v>
                </c:pt>
                <c:pt idx="3">
                  <c:v>  Moldova</c:v>
                </c:pt>
                <c:pt idx="4">
                  <c:v>  Ukraine</c:v>
                </c:pt>
                <c:pt idx="5">
                  <c:v>  Malta</c:v>
                </c:pt>
                <c:pt idx="6">
                  <c:v>  Bulgaria</c:v>
                </c:pt>
                <c:pt idx="7">
                  <c:v>  Bosnia and Herzegovina</c:v>
                </c:pt>
                <c:pt idx="8">
                  <c:v>  Andorra</c:v>
                </c:pt>
                <c:pt idx="9">
                  <c:v>  Romania</c:v>
                </c:pt>
                <c:pt idx="10">
                  <c:v>  Slovenia</c:v>
                </c:pt>
                <c:pt idx="11">
                  <c:v>  Poland</c:v>
                </c:pt>
                <c:pt idx="12">
                  <c:v>  Cyprus</c:v>
                </c:pt>
                <c:pt idx="13">
                  <c:v>  Czechia</c:v>
                </c:pt>
                <c:pt idx="14">
                  <c:v>  Luxembourg</c:v>
                </c:pt>
                <c:pt idx="15">
                  <c:v>  Lithuania</c:v>
                </c:pt>
                <c:pt idx="16">
                  <c:v>  Portugal</c:v>
                </c:pt>
                <c:pt idx="17">
                  <c:v>  Slovakia</c:v>
                </c:pt>
                <c:pt idx="18">
                  <c:v>  Croatia</c:v>
                </c:pt>
                <c:pt idx="19">
                  <c:v>  Spain</c:v>
                </c:pt>
                <c:pt idx="20">
                  <c:v>  Latvia</c:v>
                </c:pt>
                <c:pt idx="21">
                  <c:v>  Estonia</c:v>
                </c:pt>
                <c:pt idx="22">
                  <c:v>  Hungary</c:v>
                </c:pt>
                <c:pt idx="23">
                  <c:v>  Austria</c:v>
                </c:pt>
                <c:pt idx="24">
                  <c:v>  Ireland</c:v>
                </c:pt>
                <c:pt idx="25">
                  <c:v>  Netherlands</c:v>
                </c:pt>
                <c:pt idx="26">
                  <c:v>  San Marino</c:v>
                </c:pt>
                <c:pt idx="27">
                  <c:v>  Albania</c:v>
                </c:pt>
                <c:pt idx="28">
                  <c:v>  Serbia</c:v>
                </c:pt>
                <c:pt idx="29">
                  <c:v>  Greece</c:v>
                </c:pt>
                <c:pt idx="30">
                  <c:v>  Germany</c:v>
                </c:pt>
                <c:pt idx="31">
                  <c:v>  Belgium</c:v>
                </c:pt>
                <c:pt idx="32">
                  <c:v>  Norway</c:v>
                </c:pt>
                <c:pt idx="33">
                  <c:v>  Denmark</c:v>
                </c:pt>
                <c:pt idx="34">
                  <c:v>  Italy</c:v>
                </c:pt>
                <c:pt idx="35">
                  <c:v>  France</c:v>
                </c:pt>
                <c:pt idx="36">
                  <c:v>  United Kingdom</c:v>
                </c:pt>
                <c:pt idx="37">
                  <c:v>  Finland</c:v>
                </c:pt>
                <c:pt idx="38">
                  <c:v>  Sweden</c:v>
                </c:pt>
                <c:pt idx="39">
                  <c:v>  Switzerland</c:v>
                </c:pt>
                <c:pt idx="40">
                  <c:v>  Iceland</c:v>
                </c:pt>
              </c:strCache>
            </c:strRef>
          </c:xVal>
          <c:yVal>
            <c:numRef>
              <c:f>'fuel price references'!$C$2:$C$42</c:f>
              <c:numCache>
                <c:formatCode>General</c:formatCode>
                <c:ptCount val="41"/>
                <c:pt idx="0">
                  <c:v>0.66200000000000003</c:v>
                </c:pt>
                <c:pt idx="1">
                  <c:v>0.87</c:v>
                </c:pt>
                <c:pt idx="2">
                  <c:v>0.995</c:v>
                </c:pt>
                <c:pt idx="3">
                  <c:v>1.073</c:v>
                </c:pt>
                <c:pt idx="4">
                  <c:v>1.149</c:v>
                </c:pt>
                <c:pt idx="5">
                  <c:v>1.21</c:v>
                </c:pt>
                <c:pt idx="6">
                  <c:v>1.341</c:v>
                </c:pt>
                <c:pt idx="7">
                  <c:v>1.3540000000000001</c:v>
                </c:pt>
                <c:pt idx="8">
                  <c:v>1.377</c:v>
                </c:pt>
                <c:pt idx="9">
                  <c:v>1.4330000000000001</c:v>
                </c:pt>
                <c:pt idx="10">
                  <c:v>1.4390000000000001</c:v>
                </c:pt>
                <c:pt idx="11">
                  <c:v>1.4450000000000001</c:v>
                </c:pt>
                <c:pt idx="12">
                  <c:v>1.476</c:v>
                </c:pt>
                <c:pt idx="13">
                  <c:v>1.48</c:v>
                </c:pt>
                <c:pt idx="14">
                  <c:v>1.4810000000000001</c:v>
                </c:pt>
                <c:pt idx="15">
                  <c:v>1.4850000000000001</c:v>
                </c:pt>
                <c:pt idx="16">
                  <c:v>1.4930000000000001</c:v>
                </c:pt>
                <c:pt idx="17">
                  <c:v>1.4930000000000001</c:v>
                </c:pt>
                <c:pt idx="18">
                  <c:v>1.5</c:v>
                </c:pt>
                <c:pt idx="19">
                  <c:v>1.5049999999999999</c:v>
                </c:pt>
                <c:pt idx="20">
                  <c:v>1.556</c:v>
                </c:pt>
                <c:pt idx="21">
                  <c:v>1.57</c:v>
                </c:pt>
                <c:pt idx="22">
                  <c:v>1.571</c:v>
                </c:pt>
                <c:pt idx="23">
                  <c:v>1.58</c:v>
                </c:pt>
                <c:pt idx="24">
                  <c:v>1.59</c:v>
                </c:pt>
                <c:pt idx="25">
                  <c:v>1.59</c:v>
                </c:pt>
                <c:pt idx="26">
                  <c:v>1.617</c:v>
                </c:pt>
                <c:pt idx="27">
                  <c:v>1.645</c:v>
                </c:pt>
                <c:pt idx="28">
                  <c:v>1.655</c:v>
                </c:pt>
                <c:pt idx="29">
                  <c:v>1.6559999999999999</c:v>
                </c:pt>
                <c:pt idx="30">
                  <c:v>1.6870000000000001</c:v>
                </c:pt>
                <c:pt idx="31">
                  <c:v>1.704</c:v>
                </c:pt>
                <c:pt idx="32">
                  <c:v>1.71</c:v>
                </c:pt>
                <c:pt idx="33">
                  <c:v>1.7130000000000001</c:v>
                </c:pt>
                <c:pt idx="34">
                  <c:v>1.7629999999999999</c:v>
                </c:pt>
                <c:pt idx="35">
                  <c:v>1.8</c:v>
                </c:pt>
                <c:pt idx="36">
                  <c:v>1.835</c:v>
                </c:pt>
                <c:pt idx="37">
                  <c:v>1.8819999999999999</c:v>
                </c:pt>
                <c:pt idx="38">
                  <c:v>1.9359999999999999</c:v>
                </c:pt>
                <c:pt idx="39">
                  <c:v>1.9990000000000001</c:v>
                </c:pt>
                <c:pt idx="40">
                  <c:v>2.1619999999999999</c:v>
                </c:pt>
              </c:numCache>
            </c:numRef>
          </c:yVal>
          <c:smooth val="0"/>
          <c:extLst>
            <c:ext xmlns:c16="http://schemas.microsoft.com/office/drawing/2014/chart" uri="{C3380CC4-5D6E-409C-BE32-E72D297353CC}">
              <c16:uniqueId val="{00000001-5273-4CB1-9ED2-A4F7FEEEA944}"/>
            </c:ext>
          </c:extLst>
        </c:ser>
        <c:ser>
          <c:idx val="2"/>
          <c:order val="2"/>
          <c:tx>
            <c:strRef>
              <c:f>'fuel price references'!$D$1</c:f>
              <c:strCache>
                <c:ptCount val="1"/>
                <c:pt idx="0">
                  <c:v>LPG</c:v>
                </c:pt>
              </c:strCache>
            </c:strRef>
          </c:tx>
          <c:spPr>
            <a:ln w="19050" cap="rnd">
              <a:noFill/>
              <a:round/>
            </a:ln>
            <a:effectLst/>
          </c:spPr>
          <c:marker>
            <c:symbol val="circle"/>
            <c:size val="5"/>
            <c:spPr>
              <a:solidFill>
                <a:schemeClr val="accent3"/>
              </a:solidFill>
              <a:ln w="9525">
                <a:solidFill>
                  <a:schemeClr val="accent3"/>
                </a:solidFill>
              </a:ln>
              <a:effectLst/>
            </c:spPr>
          </c:marker>
          <c:xVal>
            <c:strRef>
              <c:f>'fuel price references'!$A$2:$A$42</c:f>
              <c:strCache>
                <c:ptCount val="41"/>
                <c:pt idx="0">
                  <c:v>  Russia</c:v>
                </c:pt>
                <c:pt idx="1">
                  <c:v>  Belarus</c:v>
                </c:pt>
                <c:pt idx="2">
                  <c:v>  Turkey</c:v>
                </c:pt>
                <c:pt idx="3">
                  <c:v>  Moldova</c:v>
                </c:pt>
                <c:pt idx="4">
                  <c:v>  Ukraine</c:v>
                </c:pt>
                <c:pt idx="5">
                  <c:v>  Malta</c:v>
                </c:pt>
                <c:pt idx="6">
                  <c:v>  Bulgaria</c:v>
                </c:pt>
                <c:pt idx="7">
                  <c:v>  Bosnia and Herzegovina</c:v>
                </c:pt>
                <c:pt idx="8">
                  <c:v>  Andorra</c:v>
                </c:pt>
                <c:pt idx="9">
                  <c:v>  Romania</c:v>
                </c:pt>
                <c:pt idx="10">
                  <c:v>  Slovenia</c:v>
                </c:pt>
                <c:pt idx="11">
                  <c:v>  Poland</c:v>
                </c:pt>
                <c:pt idx="12">
                  <c:v>  Cyprus</c:v>
                </c:pt>
                <c:pt idx="13">
                  <c:v>  Czechia</c:v>
                </c:pt>
                <c:pt idx="14">
                  <c:v>  Luxembourg</c:v>
                </c:pt>
                <c:pt idx="15">
                  <c:v>  Lithuania</c:v>
                </c:pt>
                <c:pt idx="16">
                  <c:v>  Portugal</c:v>
                </c:pt>
                <c:pt idx="17">
                  <c:v>  Slovakia</c:v>
                </c:pt>
                <c:pt idx="18">
                  <c:v>  Croatia</c:v>
                </c:pt>
                <c:pt idx="19">
                  <c:v>  Spain</c:v>
                </c:pt>
                <c:pt idx="20">
                  <c:v>  Latvia</c:v>
                </c:pt>
                <c:pt idx="21">
                  <c:v>  Estonia</c:v>
                </c:pt>
                <c:pt idx="22">
                  <c:v>  Hungary</c:v>
                </c:pt>
                <c:pt idx="23">
                  <c:v>  Austria</c:v>
                </c:pt>
                <c:pt idx="24">
                  <c:v>  Ireland</c:v>
                </c:pt>
                <c:pt idx="25">
                  <c:v>  Netherlands</c:v>
                </c:pt>
                <c:pt idx="26">
                  <c:v>  San Marino</c:v>
                </c:pt>
                <c:pt idx="27">
                  <c:v>  Albania</c:v>
                </c:pt>
                <c:pt idx="28">
                  <c:v>  Serbia</c:v>
                </c:pt>
                <c:pt idx="29">
                  <c:v>  Greece</c:v>
                </c:pt>
                <c:pt idx="30">
                  <c:v>  Germany</c:v>
                </c:pt>
                <c:pt idx="31">
                  <c:v>  Belgium</c:v>
                </c:pt>
                <c:pt idx="32">
                  <c:v>  Norway</c:v>
                </c:pt>
                <c:pt idx="33">
                  <c:v>  Denmark</c:v>
                </c:pt>
                <c:pt idx="34">
                  <c:v>  Italy</c:v>
                </c:pt>
                <c:pt idx="35">
                  <c:v>  France</c:v>
                </c:pt>
                <c:pt idx="36">
                  <c:v>  United Kingdom</c:v>
                </c:pt>
                <c:pt idx="37">
                  <c:v>  Finland</c:v>
                </c:pt>
                <c:pt idx="38">
                  <c:v>  Sweden</c:v>
                </c:pt>
                <c:pt idx="39">
                  <c:v>  Switzerland</c:v>
                </c:pt>
                <c:pt idx="40">
                  <c:v>  Iceland</c:v>
                </c:pt>
              </c:strCache>
            </c:strRef>
          </c:xVal>
          <c:yVal>
            <c:numRef>
              <c:f>'fuel price references'!$D$2:$D$42</c:f>
              <c:numCache>
                <c:formatCode>General</c:formatCode>
                <c:ptCount val="41"/>
                <c:pt idx="0">
                  <c:v>0.21199999999999999</c:v>
                </c:pt>
                <c:pt idx="1">
                  <c:v>0.45700000000000002</c:v>
                </c:pt>
                <c:pt idx="2">
                  <c:v>0.49099999999999999</c:v>
                </c:pt>
                <c:pt idx="3">
                  <c:v>0.81599999999999995</c:v>
                </c:pt>
                <c:pt idx="4">
                  <c:v>0.54100000000000004</c:v>
                </c:pt>
                <c:pt idx="6">
                  <c:v>0.56999999999999995</c:v>
                </c:pt>
                <c:pt idx="7">
                  <c:v>0.72399999999999998</c:v>
                </c:pt>
                <c:pt idx="9">
                  <c:v>0.78800000000000003</c:v>
                </c:pt>
                <c:pt idx="10">
                  <c:v>0.89400000000000002</c:v>
                </c:pt>
                <c:pt idx="11">
                  <c:v>0.66400000000000003</c:v>
                </c:pt>
                <c:pt idx="13">
                  <c:v>0.70199999999999996</c:v>
                </c:pt>
                <c:pt idx="14">
                  <c:v>0.71699999999999997</c:v>
                </c:pt>
                <c:pt idx="15">
                  <c:v>0.55900000000000005</c:v>
                </c:pt>
                <c:pt idx="16">
                  <c:v>0.82899999999999996</c:v>
                </c:pt>
                <c:pt idx="17">
                  <c:v>0.73799999999999999</c:v>
                </c:pt>
                <c:pt idx="18">
                  <c:v>0.95</c:v>
                </c:pt>
                <c:pt idx="19">
                  <c:v>0.96199999999999997</c:v>
                </c:pt>
                <c:pt idx="20">
                  <c:v>0.79200000000000004</c:v>
                </c:pt>
                <c:pt idx="21">
                  <c:v>0.70199999999999996</c:v>
                </c:pt>
                <c:pt idx="22">
                  <c:v>0.95199999999999996</c:v>
                </c:pt>
                <c:pt idx="25">
                  <c:v>0.82599999999999996</c:v>
                </c:pt>
                <c:pt idx="26">
                  <c:v>0.748</c:v>
                </c:pt>
                <c:pt idx="27">
                  <c:v>0.67</c:v>
                </c:pt>
                <c:pt idx="28">
                  <c:v>0.88600000000000001</c:v>
                </c:pt>
                <c:pt idx="29">
                  <c:v>0.98199999999999998</c:v>
                </c:pt>
                <c:pt idx="30">
                  <c:v>1.083</c:v>
                </c:pt>
                <c:pt idx="31">
                  <c:v>0.68400000000000005</c:v>
                </c:pt>
                <c:pt idx="34">
                  <c:v>0.78</c:v>
                </c:pt>
                <c:pt idx="35">
                  <c:v>0.999</c:v>
                </c:pt>
                <c:pt idx="36">
                  <c:v>0.87</c:v>
                </c:pt>
                <c:pt idx="38">
                  <c:v>1.2090000000000001</c:v>
                </c:pt>
                <c:pt idx="39">
                  <c:v>1.7</c:v>
                </c:pt>
              </c:numCache>
            </c:numRef>
          </c:yVal>
          <c:smooth val="0"/>
          <c:extLst>
            <c:ext xmlns:c16="http://schemas.microsoft.com/office/drawing/2014/chart" uri="{C3380CC4-5D6E-409C-BE32-E72D297353CC}">
              <c16:uniqueId val="{00000002-5273-4CB1-9ED2-A4F7FEEEA944}"/>
            </c:ext>
          </c:extLst>
        </c:ser>
        <c:dLbls>
          <c:showLegendKey val="0"/>
          <c:showVal val="0"/>
          <c:showCatName val="0"/>
          <c:showSerName val="0"/>
          <c:showPercent val="0"/>
          <c:showBubbleSize val="0"/>
        </c:dLbls>
        <c:axId val="1439843696"/>
        <c:axId val="744098560"/>
      </c:scatterChart>
      <c:valAx>
        <c:axId val="143984369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098560"/>
        <c:crosses val="autoZero"/>
        <c:crossBetween val="midCat"/>
      </c:valAx>
      <c:valAx>
        <c:axId val="744098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84369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EUR/MWh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'fuel price references'!$M$3</c:f>
              <c:strCache>
                <c:ptCount val="1"/>
                <c:pt idx="0">
                  <c:v>SE1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'fuel price references'!$L$4:$L$56</c:f>
              <c:numCache>
                <c:formatCode>m/d/yyyy</c:formatCode>
                <c:ptCount val="53"/>
                <c:pt idx="0">
                  <c:v>44986</c:v>
                </c:pt>
                <c:pt idx="1">
                  <c:v>44958</c:v>
                </c:pt>
                <c:pt idx="2">
                  <c:v>44927</c:v>
                </c:pt>
                <c:pt idx="3">
                  <c:v>44896</c:v>
                </c:pt>
                <c:pt idx="4">
                  <c:v>44866</c:v>
                </c:pt>
                <c:pt idx="5">
                  <c:v>44835</c:v>
                </c:pt>
                <c:pt idx="6">
                  <c:v>44805</c:v>
                </c:pt>
                <c:pt idx="7">
                  <c:v>44774</c:v>
                </c:pt>
                <c:pt idx="8">
                  <c:v>44743</c:v>
                </c:pt>
                <c:pt idx="9">
                  <c:v>44713</c:v>
                </c:pt>
                <c:pt idx="10">
                  <c:v>44682</c:v>
                </c:pt>
                <c:pt idx="11">
                  <c:v>44652</c:v>
                </c:pt>
                <c:pt idx="12">
                  <c:v>44621</c:v>
                </c:pt>
                <c:pt idx="13">
                  <c:v>44593</c:v>
                </c:pt>
                <c:pt idx="14">
                  <c:v>44562</c:v>
                </c:pt>
                <c:pt idx="15">
                  <c:v>44531</c:v>
                </c:pt>
                <c:pt idx="16">
                  <c:v>44501</c:v>
                </c:pt>
                <c:pt idx="17">
                  <c:v>44470</c:v>
                </c:pt>
                <c:pt idx="18">
                  <c:v>44440</c:v>
                </c:pt>
                <c:pt idx="19">
                  <c:v>44409</c:v>
                </c:pt>
                <c:pt idx="20">
                  <c:v>44378</c:v>
                </c:pt>
                <c:pt idx="21">
                  <c:v>44348</c:v>
                </c:pt>
                <c:pt idx="22">
                  <c:v>44317</c:v>
                </c:pt>
                <c:pt idx="23">
                  <c:v>44287</c:v>
                </c:pt>
                <c:pt idx="24">
                  <c:v>44256</c:v>
                </c:pt>
                <c:pt idx="25">
                  <c:v>44228</c:v>
                </c:pt>
                <c:pt idx="26">
                  <c:v>44197</c:v>
                </c:pt>
                <c:pt idx="27">
                  <c:v>44166</c:v>
                </c:pt>
                <c:pt idx="28">
                  <c:v>44136</c:v>
                </c:pt>
                <c:pt idx="29">
                  <c:v>44105</c:v>
                </c:pt>
                <c:pt idx="30">
                  <c:v>44075</c:v>
                </c:pt>
                <c:pt idx="31">
                  <c:v>44044</c:v>
                </c:pt>
                <c:pt idx="32">
                  <c:v>44013</c:v>
                </c:pt>
                <c:pt idx="33">
                  <c:v>43983</c:v>
                </c:pt>
                <c:pt idx="34">
                  <c:v>43952</c:v>
                </c:pt>
                <c:pt idx="35">
                  <c:v>43922</c:v>
                </c:pt>
                <c:pt idx="36">
                  <c:v>43891</c:v>
                </c:pt>
                <c:pt idx="37">
                  <c:v>43862</c:v>
                </c:pt>
                <c:pt idx="38">
                  <c:v>43831</c:v>
                </c:pt>
                <c:pt idx="39">
                  <c:v>43800</c:v>
                </c:pt>
                <c:pt idx="40">
                  <c:v>43770</c:v>
                </c:pt>
                <c:pt idx="41">
                  <c:v>43739</c:v>
                </c:pt>
                <c:pt idx="42">
                  <c:v>43709</c:v>
                </c:pt>
                <c:pt idx="43">
                  <c:v>43678</c:v>
                </c:pt>
                <c:pt idx="44">
                  <c:v>43647</c:v>
                </c:pt>
                <c:pt idx="45">
                  <c:v>43617</c:v>
                </c:pt>
                <c:pt idx="46">
                  <c:v>43586</c:v>
                </c:pt>
                <c:pt idx="47">
                  <c:v>43556</c:v>
                </c:pt>
                <c:pt idx="48">
                  <c:v>43525</c:v>
                </c:pt>
                <c:pt idx="49">
                  <c:v>43497</c:v>
                </c:pt>
                <c:pt idx="50">
                  <c:v>43466</c:v>
                </c:pt>
                <c:pt idx="51">
                  <c:v>43435</c:v>
                </c:pt>
                <c:pt idx="52">
                  <c:v>43405</c:v>
                </c:pt>
              </c:numCache>
            </c:numRef>
          </c:cat>
          <c:val>
            <c:numRef>
              <c:f>'fuel price references'!$M$4:$M$56</c:f>
              <c:numCache>
                <c:formatCode>General</c:formatCode>
                <c:ptCount val="53"/>
                <c:pt idx="0">
                  <c:v>50.28</c:v>
                </c:pt>
                <c:pt idx="1">
                  <c:v>46.46</c:v>
                </c:pt>
                <c:pt idx="2">
                  <c:v>62.85</c:v>
                </c:pt>
                <c:pt idx="3">
                  <c:v>188.24</c:v>
                </c:pt>
                <c:pt idx="4">
                  <c:v>111.9</c:v>
                </c:pt>
                <c:pt idx="5">
                  <c:v>46.09</c:v>
                </c:pt>
                <c:pt idx="6">
                  <c:v>93.51</c:v>
                </c:pt>
                <c:pt idx="7">
                  <c:v>17.329999999999998</c:v>
                </c:pt>
                <c:pt idx="8">
                  <c:v>21.34</c:v>
                </c:pt>
                <c:pt idx="9">
                  <c:v>48.38</c:v>
                </c:pt>
                <c:pt idx="10">
                  <c:v>55.16</c:v>
                </c:pt>
                <c:pt idx="11">
                  <c:v>51.22</c:v>
                </c:pt>
                <c:pt idx="12">
                  <c:v>21.78</c:v>
                </c:pt>
                <c:pt idx="13">
                  <c:v>24.5</c:v>
                </c:pt>
                <c:pt idx="14">
                  <c:v>28.08</c:v>
                </c:pt>
                <c:pt idx="15">
                  <c:v>64.849999999999994</c:v>
                </c:pt>
                <c:pt idx="16">
                  <c:v>43.04</c:v>
                </c:pt>
                <c:pt idx="17">
                  <c:v>25.59</c:v>
                </c:pt>
                <c:pt idx="18">
                  <c:v>55.5</c:v>
                </c:pt>
                <c:pt idx="19">
                  <c:v>57.55</c:v>
                </c:pt>
                <c:pt idx="20">
                  <c:v>50.93</c:v>
                </c:pt>
                <c:pt idx="21">
                  <c:v>34.42</c:v>
                </c:pt>
                <c:pt idx="22">
                  <c:v>38.380000000000003</c:v>
                </c:pt>
                <c:pt idx="23">
                  <c:v>26.44</c:v>
                </c:pt>
                <c:pt idx="24">
                  <c:v>25.03</c:v>
                </c:pt>
                <c:pt idx="25">
                  <c:v>43.25</c:v>
                </c:pt>
                <c:pt idx="26">
                  <c:v>44.65</c:v>
                </c:pt>
                <c:pt idx="27">
                  <c:v>18.09</c:v>
                </c:pt>
                <c:pt idx="28">
                  <c:v>6.47</c:v>
                </c:pt>
                <c:pt idx="29">
                  <c:v>20.6</c:v>
                </c:pt>
                <c:pt idx="30">
                  <c:v>30.11</c:v>
                </c:pt>
                <c:pt idx="31">
                  <c:v>17.5</c:v>
                </c:pt>
                <c:pt idx="32">
                  <c:v>8.5</c:v>
                </c:pt>
                <c:pt idx="33">
                  <c:v>9.8699999999999992</c:v>
                </c:pt>
                <c:pt idx="34">
                  <c:v>9.5</c:v>
                </c:pt>
                <c:pt idx="35">
                  <c:v>5.13</c:v>
                </c:pt>
                <c:pt idx="36">
                  <c:v>9.01</c:v>
                </c:pt>
                <c:pt idx="37">
                  <c:v>14.39</c:v>
                </c:pt>
                <c:pt idx="38">
                  <c:v>23.26</c:v>
                </c:pt>
                <c:pt idx="39">
                  <c:v>35.14</c:v>
                </c:pt>
                <c:pt idx="40">
                  <c:v>41.23</c:v>
                </c:pt>
                <c:pt idx="41">
                  <c:v>36.36</c:v>
                </c:pt>
                <c:pt idx="42">
                  <c:v>34.07</c:v>
                </c:pt>
                <c:pt idx="43">
                  <c:v>36.880000000000003</c:v>
                </c:pt>
                <c:pt idx="44">
                  <c:v>34.92</c:v>
                </c:pt>
                <c:pt idx="45">
                  <c:v>24.47</c:v>
                </c:pt>
                <c:pt idx="46">
                  <c:v>34.82</c:v>
                </c:pt>
                <c:pt idx="47">
                  <c:v>39.69</c:v>
                </c:pt>
                <c:pt idx="48">
                  <c:v>39.340000000000003</c:v>
                </c:pt>
                <c:pt idx="49">
                  <c:v>45.19</c:v>
                </c:pt>
                <c:pt idx="50">
                  <c:v>53.5</c:v>
                </c:pt>
                <c:pt idx="51">
                  <c:v>50.56</c:v>
                </c:pt>
                <c:pt idx="52">
                  <c:v>47.8</c:v>
                </c:pt>
              </c:numCache>
            </c:numRef>
          </c:val>
          <c:smooth val="0"/>
          <c:extLst>
            <c:ext xmlns:c16="http://schemas.microsoft.com/office/drawing/2014/chart" uri="{C3380CC4-5D6E-409C-BE32-E72D297353CC}">
              <c16:uniqueId val="{00000000-F9B0-470E-BDBF-E1904C014C8E}"/>
            </c:ext>
          </c:extLst>
        </c:ser>
        <c:ser>
          <c:idx val="1"/>
          <c:order val="1"/>
          <c:tx>
            <c:strRef>
              <c:f>'fuel price references'!$N$3</c:f>
              <c:strCache>
                <c:ptCount val="1"/>
                <c:pt idx="0">
                  <c:v>SE2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'fuel price references'!$L$4:$L$56</c:f>
              <c:numCache>
                <c:formatCode>m/d/yyyy</c:formatCode>
                <c:ptCount val="53"/>
                <c:pt idx="0">
                  <c:v>44986</c:v>
                </c:pt>
                <c:pt idx="1">
                  <c:v>44958</c:v>
                </c:pt>
                <c:pt idx="2">
                  <c:v>44927</c:v>
                </c:pt>
                <c:pt idx="3">
                  <c:v>44896</c:v>
                </c:pt>
                <c:pt idx="4">
                  <c:v>44866</c:v>
                </c:pt>
                <c:pt idx="5">
                  <c:v>44835</c:v>
                </c:pt>
                <c:pt idx="6">
                  <c:v>44805</c:v>
                </c:pt>
                <c:pt idx="7">
                  <c:v>44774</c:v>
                </c:pt>
                <c:pt idx="8">
                  <c:v>44743</c:v>
                </c:pt>
                <c:pt idx="9">
                  <c:v>44713</c:v>
                </c:pt>
                <c:pt idx="10">
                  <c:v>44682</c:v>
                </c:pt>
                <c:pt idx="11">
                  <c:v>44652</c:v>
                </c:pt>
                <c:pt idx="12">
                  <c:v>44621</c:v>
                </c:pt>
                <c:pt idx="13">
                  <c:v>44593</c:v>
                </c:pt>
                <c:pt idx="14">
                  <c:v>44562</c:v>
                </c:pt>
                <c:pt idx="15">
                  <c:v>44531</c:v>
                </c:pt>
                <c:pt idx="16">
                  <c:v>44501</c:v>
                </c:pt>
                <c:pt idx="17">
                  <c:v>44470</c:v>
                </c:pt>
                <c:pt idx="18">
                  <c:v>44440</c:v>
                </c:pt>
                <c:pt idx="19">
                  <c:v>44409</c:v>
                </c:pt>
                <c:pt idx="20">
                  <c:v>44378</c:v>
                </c:pt>
                <c:pt idx="21">
                  <c:v>44348</c:v>
                </c:pt>
                <c:pt idx="22">
                  <c:v>44317</c:v>
                </c:pt>
                <c:pt idx="23">
                  <c:v>44287</c:v>
                </c:pt>
                <c:pt idx="24">
                  <c:v>44256</c:v>
                </c:pt>
                <c:pt idx="25">
                  <c:v>44228</c:v>
                </c:pt>
                <c:pt idx="26">
                  <c:v>44197</c:v>
                </c:pt>
                <c:pt idx="27">
                  <c:v>44166</c:v>
                </c:pt>
                <c:pt idx="28">
                  <c:v>44136</c:v>
                </c:pt>
                <c:pt idx="29">
                  <c:v>44105</c:v>
                </c:pt>
                <c:pt idx="30">
                  <c:v>44075</c:v>
                </c:pt>
                <c:pt idx="31">
                  <c:v>44044</c:v>
                </c:pt>
                <c:pt idx="32">
                  <c:v>44013</c:v>
                </c:pt>
                <c:pt idx="33">
                  <c:v>43983</c:v>
                </c:pt>
                <c:pt idx="34">
                  <c:v>43952</c:v>
                </c:pt>
                <c:pt idx="35">
                  <c:v>43922</c:v>
                </c:pt>
                <c:pt idx="36">
                  <c:v>43891</c:v>
                </c:pt>
                <c:pt idx="37">
                  <c:v>43862</c:v>
                </c:pt>
                <c:pt idx="38">
                  <c:v>43831</c:v>
                </c:pt>
                <c:pt idx="39">
                  <c:v>43800</c:v>
                </c:pt>
                <c:pt idx="40">
                  <c:v>43770</c:v>
                </c:pt>
                <c:pt idx="41">
                  <c:v>43739</c:v>
                </c:pt>
                <c:pt idx="42">
                  <c:v>43709</c:v>
                </c:pt>
                <c:pt idx="43">
                  <c:v>43678</c:v>
                </c:pt>
                <c:pt idx="44">
                  <c:v>43647</c:v>
                </c:pt>
                <c:pt idx="45">
                  <c:v>43617</c:v>
                </c:pt>
                <c:pt idx="46">
                  <c:v>43586</c:v>
                </c:pt>
                <c:pt idx="47">
                  <c:v>43556</c:v>
                </c:pt>
                <c:pt idx="48">
                  <c:v>43525</c:v>
                </c:pt>
                <c:pt idx="49">
                  <c:v>43497</c:v>
                </c:pt>
                <c:pt idx="50">
                  <c:v>43466</c:v>
                </c:pt>
                <c:pt idx="51">
                  <c:v>43435</c:v>
                </c:pt>
                <c:pt idx="52">
                  <c:v>43405</c:v>
                </c:pt>
              </c:numCache>
            </c:numRef>
          </c:cat>
          <c:val>
            <c:numRef>
              <c:f>'fuel price references'!$N$4:$N$56</c:f>
              <c:numCache>
                <c:formatCode>General</c:formatCode>
                <c:ptCount val="53"/>
                <c:pt idx="0">
                  <c:v>50.28</c:v>
                </c:pt>
                <c:pt idx="1">
                  <c:v>46.46</c:v>
                </c:pt>
                <c:pt idx="2">
                  <c:v>62.85</c:v>
                </c:pt>
                <c:pt idx="3">
                  <c:v>188.31</c:v>
                </c:pt>
                <c:pt idx="4">
                  <c:v>111.9</c:v>
                </c:pt>
                <c:pt idx="5">
                  <c:v>46.85</c:v>
                </c:pt>
                <c:pt idx="6">
                  <c:v>93.88</c:v>
                </c:pt>
                <c:pt idx="7">
                  <c:v>49.45</c:v>
                </c:pt>
                <c:pt idx="8">
                  <c:v>21.34</c:v>
                </c:pt>
                <c:pt idx="9">
                  <c:v>48.38</c:v>
                </c:pt>
                <c:pt idx="10">
                  <c:v>55.16</c:v>
                </c:pt>
                <c:pt idx="11">
                  <c:v>51.94</c:v>
                </c:pt>
                <c:pt idx="12">
                  <c:v>21.78</c:v>
                </c:pt>
                <c:pt idx="13">
                  <c:v>24.5</c:v>
                </c:pt>
                <c:pt idx="14">
                  <c:v>28.08</c:v>
                </c:pt>
                <c:pt idx="15">
                  <c:v>64.849999999999994</c:v>
                </c:pt>
                <c:pt idx="16">
                  <c:v>43.04</c:v>
                </c:pt>
                <c:pt idx="17">
                  <c:v>25.59</c:v>
                </c:pt>
                <c:pt idx="18">
                  <c:v>55.5</c:v>
                </c:pt>
                <c:pt idx="19">
                  <c:v>57.55</c:v>
                </c:pt>
                <c:pt idx="20">
                  <c:v>51.74</c:v>
                </c:pt>
                <c:pt idx="21">
                  <c:v>34.42</c:v>
                </c:pt>
                <c:pt idx="22">
                  <c:v>38.380000000000003</c:v>
                </c:pt>
                <c:pt idx="23">
                  <c:v>26.36</c:v>
                </c:pt>
                <c:pt idx="24">
                  <c:v>25.03</c:v>
                </c:pt>
                <c:pt idx="25">
                  <c:v>43.25</c:v>
                </c:pt>
                <c:pt idx="26">
                  <c:v>44.65</c:v>
                </c:pt>
                <c:pt idx="27">
                  <c:v>18.09</c:v>
                </c:pt>
                <c:pt idx="28">
                  <c:v>6.47</c:v>
                </c:pt>
                <c:pt idx="29">
                  <c:v>20.6</c:v>
                </c:pt>
                <c:pt idx="30">
                  <c:v>30.11</c:v>
                </c:pt>
                <c:pt idx="31">
                  <c:v>17.510000000000002</c:v>
                </c:pt>
                <c:pt idx="32">
                  <c:v>8.5</c:v>
                </c:pt>
                <c:pt idx="33">
                  <c:v>9.8699999999999992</c:v>
                </c:pt>
                <c:pt idx="34">
                  <c:v>9.5</c:v>
                </c:pt>
                <c:pt idx="35">
                  <c:v>5.13</c:v>
                </c:pt>
                <c:pt idx="36">
                  <c:v>9.01</c:v>
                </c:pt>
                <c:pt idx="37">
                  <c:v>14.39</c:v>
                </c:pt>
                <c:pt idx="38">
                  <c:v>23.26</c:v>
                </c:pt>
                <c:pt idx="39">
                  <c:v>35.14</c:v>
                </c:pt>
                <c:pt idx="40">
                  <c:v>41.23</c:v>
                </c:pt>
                <c:pt idx="41">
                  <c:v>36.36</c:v>
                </c:pt>
                <c:pt idx="42">
                  <c:v>34.07</c:v>
                </c:pt>
                <c:pt idx="43">
                  <c:v>36.880000000000003</c:v>
                </c:pt>
                <c:pt idx="44">
                  <c:v>34.92</c:v>
                </c:pt>
                <c:pt idx="45">
                  <c:v>24.47</c:v>
                </c:pt>
                <c:pt idx="46">
                  <c:v>34.82</c:v>
                </c:pt>
                <c:pt idx="47">
                  <c:v>39.69</c:v>
                </c:pt>
                <c:pt idx="48">
                  <c:v>39.340000000000003</c:v>
                </c:pt>
                <c:pt idx="49">
                  <c:v>45.19</c:v>
                </c:pt>
                <c:pt idx="50">
                  <c:v>53.5</c:v>
                </c:pt>
                <c:pt idx="51">
                  <c:v>50.56</c:v>
                </c:pt>
                <c:pt idx="52">
                  <c:v>47.8</c:v>
                </c:pt>
              </c:numCache>
            </c:numRef>
          </c:val>
          <c:smooth val="0"/>
          <c:extLst>
            <c:ext xmlns:c16="http://schemas.microsoft.com/office/drawing/2014/chart" uri="{C3380CC4-5D6E-409C-BE32-E72D297353CC}">
              <c16:uniqueId val="{00000001-F9B0-470E-BDBF-E1904C014C8E}"/>
            </c:ext>
          </c:extLst>
        </c:ser>
        <c:ser>
          <c:idx val="2"/>
          <c:order val="2"/>
          <c:tx>
            <c:strRef>
              <c:f>'fuel price references'!$O$3</c:f>
              <c:strCache>
                <c:ptCount val="1"/>
                <c:pt idx="0">
                  <c:v>SE3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'fuel price references'!$L$4:$L$56</c:f>
              <c:numCache>
                <c:formatCode>m/d/yyyy</c:formatCode>
                <c:ptCount val="53"/>
                <c:pt idx="0">
                  <c:v>44986</c:v>
                </c:pt>
                <c:pt idx="1">
                  <c:v>44958</c:v>
                </c:pt>
                <c:pt idx="2">
                  <c:v>44927</c:v>
                </c:pt>
                <c:pt idx="3">
                  <c:v>44896</c:v>
                </c:pt>
                <c:pt idx="4">
                  <c:v>44866</c:v>
                </c:pt>
                <c:pt idx="5">
                  <c:v>44835</c:v>
                </c:pt>
                <c:pt idx="6">
                  <c:v>44805</c:v>
                </c:pt>
                <c:pt idx="7">
                  <c:v>44774</c:v>
                </c:pt>
                <c:pt idx="8">
                  <c:v>44743</c:v>
                </c:pt>
                <c:pt idx="9">
                  <c:v>44713</c:v>
                </c:pt>
                <c:pt idx="10">
                  <c:v>44682</c:v>
                </c:pt>
                <c:pt idx="11">
                  <c:v>44652</c:v>
                </c:pt>
                <c:pt idx="12">
                  <c:v>44621</c:v>
                </c:pt>
                <c:pt idx="13">
                  <c:v>44593</c:v>
                </c:pt>
                <c:pt idx="14">
                  <c:v>44562</c:v>
                </c:pt>
                <c:pt idx="15">
                  <c:v>44531</c:v>
                </c:pt>
                <c:pt idx="16">
                  <c:v>44501</c:v>
                </c:pt>
                <c:pt idx="17">
                  <c:v>44470</c:v>
                </c:pt>
                <c:pt idx="18">
                  <c:v>44440</c:v>
                </c:pt>
                <c:pt idx="19">
                  <c:v>44409</c:v>
                </c:pt>
                <c:pt idx="20">
                  <c:v>44378</c:v>
                </c:pt>
                <c:pt idx="21">
                  <c:v>44348</c:v>
                </c:pt>
                <c:pt idx="22">
                  <c:v>44317</c:v>
                </c:pt>
                <c:pt idx="23">
                  <c:v>44287</c:v>
                </c:pt>
                <c:pt idx="24">
                  <c:v>44256</c:v>
                </c:pt>
                <c:pt idx="25">
                  <c:v>44228</c:v>
                </c:pt>
                <c:pt idx="26">
                  <c:v>44197</c:v>
                </c:pt>
                <c:pt idx="27">
                  <c:v>44166</c:v>
                </c:pt>
                <c:pt idx="28">
                  <c:v>44136</c:v>
                </c:pt>
                <c:pt idx="29">
                  <c:v>44105</c:v>
                </c:pt>
                <c:pt idx="30">
                  <c:v>44075</c:v>
                </c:pt>
                <c:pt idx="31">
                  <c:v>44044</c:v>
                </c:pt>
                <c:pt idx="32">
                  <c:v>44013</c:v>
                </c:pt>
                <c:pt idx="33">
                  <c:v>43983</c:v>
                </c:pt>
                <c:pt idx="34">
                  <c:v>43952</c:v>
                </c:pt>
                <c:pt idx="35">
                  <c:v>43922</c:v>
                </c:pt>
                <c:pt idx="36">
                  <c:v>43891</c:v>
                </c:pt>
                <c:pt idx="37">
                  <c:v>43862</c:v>
                </c:pt>
                <c:pt idx="38">
                  <c:v>43831</c:v>
                </c:pt>
                <c:pt idx="39">
                  <c:v>43800</c:v>
                </c:pt>
                <c:pt idx="40">
                  <c:v>43770</c:v>
                </c:pt>
                <c:pt idx="41">
                  <c:v>43739</c:v>
                </c:pt>
                <c:pt idx="42">
                  <c:v>43709</c:v>
                </c:pt>
                <c:pt idx="43">
                  <c:v>43678</c:v>
                </c:pt>
                <c:pt idx="44">
                  <c:v>43647</c:v>
                </c:pt>
                <c:pt idx="45">
                  <c:v>43617</c:v>
                </c:pt>
                <c:pt idx="46">
                  <c:v>43586</c:v>
                </c:pt>
                <c:pt idx="47">
                  <c:v>43556</c:v>
                </c:pt>
                <c:pt idx="48">
                  <c:v>43525</c:v>
                </c:pt>
                <c:pt idx="49">
                  <c:v>43497</c:v>
                </c:pt>
                <c:pt idx="50">
                  <c:v>43466</c:v>
                </c:pt>
                <c:pt idx="51">
                  <c:v>43435</c:v>
                </c:pt>
                <c:pt idx="52">
                  <c:v>43405</c:v>
                </c:pt>
              </c:numCache>
            </c:numRef>
          </c:cat>
          <c:val>
            <c:numRef>
              <c:f>'fuel price references'!$O$4:$O$56</c:f>
              <c:numCache>
                <c:formatCode>General</c:formatCode>
                <c:ptCount val="53"/>
                <c:pt idx="0">
                  <c:v>71.790000000000006</c:v>
                </c:pt>
                <c:pt idx="1">
                  <c:v>73.67</c:v>
                </c:pt>
                <c:pt idx="2">
                  <c:v>82.72</c:v>
                </c:pt>
                <c:pt idx="3">
                  <c:v>245.84</c:v>
                </c:pt>
                <c:pt idx="4">
                  <c:v>120.04</c:v>
                </c:pt>
                <c:pt idx="5">
                  <c:v>73.58</c:v>
                </c:pt>
                <c:pt idx="6">
                  <c:v>212.3</c:v>
                </c:pt>
                <c:pt idx="7">
                  <c:v>211.4</c:v>
                </c:pt>
                <c:pt idx="8">
                  <c:v>81.790000000000006</c:v>
                </c:pt>
                <c:pt idx="9">
                  <c:v>119.14</c:v>
                </c:pt>
                <c:pt idx="10">
                  <c:v>98.15</c:v>
                </c:pt>
                <c:pt idx="11">
                  <c:v>86.3</c:v>
                </c:pt>
                <c:pt idx="12">
                  <c:v>122.9</c:v>
                </c:pt>
                <c:pt idx="13">
                  <c:v>73.489999999999995</c:v>
                </c:pt>
                <c:pt idx="14">
                  <c:v>100.89</c:v>
                </c:pt>
                <c:pt idx="15">
                  <c:v>175.74</c:v>
                </c:pt>
                <c:pt idx="16">
                  <c:v>82.53</c:v>
                </c:pt>
                <c:pt idx="17">
                  <c:v>64.28</c:v>
                </c:pt>
                <c:pt idx="18">
                  <c:v>90.26</c:v>
                </c:pt>
                <c:pt idx="19">
                  <c:v>65.67</c:v>
                </c:pt>
                <c:pt idx="20">
                  <c:v>57.9</c:v>
                </c:pt>
                <c:pt idx="21">
                  <c:v>39.840000000000003</c:v>
                </c:pt>
                <c:pt idx="22">
                  <c:v>42.88</c:v>
                </c:pt>
                <c:pt idx="23">
                  <c:v>33.119999999999997</c:v>
                </c:pt>
                <c:pt idx="24">
                  <c:v>36.17</c:v>
                </c:pt>
                <c:pt idx="25">
                  <c:v>53.14</c:v>
                </c:pt>
                <c:pt idx="26">
                  <c:v>48.6</c:v>
                </c:pt>
                <c:pt idx="27">
                  <c:v>30.96</c:v>
                </c:pt>
                <c:pt idx="28">
                  <c:v>23.64</c:v>
                </c:pt>
                <c:pt idx="29">
                  <c:v>22.12</c:v>
                </c:pt>
                <c:pt idx="30">
                  <c:v>33.49</c:v>
                </c:pt>
                <c:pt idx="31">
                  <c:v>33.659999999999997</c:v>
                </c:pt>
                <c:pt idx="32">
                  <c:v>8.92</c:v>
                </c:pt>
                <c:pt idx="33">
                  <c:v>23.73</c:v>
                </c:pt>
                <c:pt idx="34">
                  <c:v>12.74</c:v>
                </c:pt>
                <c:pt idx="35">
                  <c:v>9</c:v>
                </c:pt>
                <c:pt idx="36">
                  <c:v>13.84</c:v>
                </c:pt>
                <c:pt idx="37">
                  <c:v>18.39</c:v>
                </c:pt>
                <c:pt idx="38">
                  <c:v>23.73</c:v>
                </c:pt>
                <c:pt idx="39">
                  <c:v>36.01</c:v>
                </c:pt>
                <c:pt idx="40">
                  <c:v>41.8</c:v>
                </c:pt>
                <c:pt idx="41">
                  <c:v>37.71</c:v>
                </c:pt>
                <c:pt idx="42">
                  <c:v>34.74</c:v>
                </c:pt>
                <c:pt idx="43">
                  <c:v>37.01</c:v>
                </c:pt>
                <c:pt idx="44">
                  <c:v>35.07</c:v>
                </c:pt>
                <c:pt idx="45">
                  <c:v>24.47</c:v>
                </c:pt>
                <c:pt idx="46">
                  <c:v>34.82</c:v>
                </c:pt>
                <c:pt idx="47">
                  <c:v>39.69</c:v>
                </c:pt>
                <c:pt idx="48">
                  <c:v>39.39</c:v>
                </c:pt>
                <c:pt idx="49">
                  <c:v>45.54</c:v>
                </c:pt>
                <c:pt idx="50">
                  <c:v>54.37</c:v>
                </c:pt>
                <c:pt idx="51">
                  <c:v>50.81</c:v>
                </c:pt>
                <c:pt idx="52">
                  <c:v>49.85</c:v>
                </c:pt>
              </c:numCache>
            </c:numRef>
          </c:val>
          <c:smooth val="0"/>
          <c:extLst>
            <c:ext xmlns:c16="http://schemas.microsoft.com/office/drawing/2014/chart" uri="{C3380CC4-5D6E-409C-BE32-E72D297353CC}">
              <c16:uniqueId val="{00000002-F9B0-470E-BDBF-E1904C014C8E}"/>
            </c:ext>
          </c:extLst>
        </c:ser>
        <c:ser>
          <c:idx val="3"/>
          <c:order val="3"/>
          <c:tx>
            <c:strRef>
              <c:f>'fuel price references'!$P$3</c:f>
              <c:strCache>
                <c:ptCount val="1"/>
                <c:pt idx="0">
                  <c:v>SE4</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'fuel price references'!$L$4:$L$56</c:f>
              <c:numCache>
                <c:formatCode>m/d/yyyy</c:formatCode>
                <c:ptCount val="53"/>
                <c:pt idx="0">
                  <c:v>44986</c:v>
                </c:pt>
                <c:pt idx="1">
                  <c:v>44958</c:v>
                </c:pt>
                <c:pt idx="2">
                  <c:v>44927</c:v>
                </c:pt>
                <c:pt idx="3">
                  <c:v>44896</c:v>
                </c:pt>
                <c:pt idx="4">
                  <c:v>44866</c:v>
                </c:pt>
                <c:pt idx="5">
                  <c:v>44835</c:v>
                </c:pt>
                <c:pt idx="6">
                  <c:v>44805</c:v>
                </c:pt>
                <c:pt idx="7">
                  <c:v>44774</c:v>
                </c:pt>
                <c:pt idx="8">
                  <c:v>44743</c:v>
                </c:pt>
                <c:pt idx="9">
                  <c:v>44713</c:v>
                </c:pt>
                <c:pt idx="10">
                  <c:v>44682</c:v>
                </c:pt>
                <c:pt idx="11">
                  <c:v>44652</c:v>
                </c:pt>
                <c:pt idx="12">
                  <c:v>44621</c:v>
                </c:pt>
                <c:pt idx="13">
                  <c:v>44593</c:v>
                </c:pt>
                <c:pt idx="14">
                  <c:v>44562</c:v>
                </c:pt>
                <c:pt idx="15">
                  <c:v>44531</c:v>
                </c:pt>
                <c:pt idx="16">
                  <c:v>44501</c:v>
                </c:pt>
                <c:pt idx="17">
                  <c:v>44470</c:v>
                </c:pt>
                <c:pt idx="18">
                  <c:v>44440</c:v>
                </c:pt>
                <c:pt idx="19">
                  <c:v>44409</c:v>
                </c:pt>
                <c:pt idx="20">
                  <c:v>44378</c:v>
                </c:pt>
                <c:pt idx="21">
                  <c:v>44348</c:v>
                </c:pt>
                <c:pt idx="22">
                  <c:v>44317</c:v>
                </c:pt>
                <c:pt idx="23">
                  <c:v>44287</c:v>
                </c:pt>
                <c:pt idx="24">
                  <c:v>44256</c:v>
                </c:pt>
                <c:pt idx="25">
                  <c:v>44228</c:v>
                </c:pt>
                <c:pt idx="26">
                  <c:v>44197</c:v>
                </c:pt>
                <c:pt idx="27">
                  <c:v>44166</c:v>
                </c:pt>
                <c:pt idx="28">
                  <c:v>44136</c:v>
                </c:pt>
                <c:pt idx="29">
                  <c:v>44105</c:v>
                </c:pt>
                <c:pt idx="30">
                  <c:v>44075</c:v>
                </c:pt>
                <c:pt idx="31">
                  <c:v>44044</c:v>
                </c:pt>
                <c:pt idx="32">
                  <c:v>44013</c:v>
                </c:pt>
                <c:pt idx="33">
                  <c:v>43983</c:v>
                </c:pt>
                <c:pt idx="34">
                  <c:v>43952</c:v>
                </c:pt>
                <c:pt idx="35">
                  <c:v>43922</c:v>
                </c:pt>
                <c:pt idx="36">
                  <c:v>43891</c:v>
                </c:pt>
                <c:pt idx="37">
                  <c:v>43862</c:v>
                </c:pt>
                <c:pt idx="38">
                  <c:v>43831</c:v>
                </c:pt>
                <c:pt idx="39">
                  <c:v>43800</c:v>
                </c:pt>
                <c:pt idx="40">
                  <c:v>43770</c:v>
                </c:pt>
                <c:pt idx="41">
                  <c:v>43739</c:v>
                </c:pt>
                <c:pt idx="42">
                  <c:v>43709</c:v>
                </c:pt>
                <c:pt idx="43">
                  <c:v>43678</c:v>
                </c:pt>
                <c:pt idx="44">
                  <c:v>43647</c:v>
                </c:pt>
                <c:pt idx="45">
                  <c:v>43617</c:v>
                </c:pt>
                <c:pt idx="46">
                  <c:v>43586</c:v>
                </c:pt>
                <c:pt idx="47">
                  <c:v>43556</c:v>
                </c:pt>
                <c:pt idx="48">
                  <c:v>43525</c:v>
                </c:pt>
                <c:pt idx="49">
                  <c:v>43497</c:v>
                </c:pt>
                <c:pt idx="50">
                  <c:v>43466</c:v>
                </c:pt>
                <c:pt idx="51">
                  <c:v>43435</c:v>
                </c:pt>
                <c:pt idx="52">
                  <c:v>43405</c:v>
                </c:pt>
              </c:numCache>
            </c:numRef>
          </c:cat>
          <c:val>
            <c:numRef>
              <c:f>'fuel price references'!$P$4:$P$56</c:f>
              <c:numCache>
                <c:formatCode>General</c:formatCode>
                <c:ptCount val="53"/>
                <c:pt idx="0">
                  <c:v>81.8</c:v>
                </c:pt>
                <c:pt idx="1">
                  <c:v>91.75</c:v>
                </c:pt>
                <c:pt idx="2">
                  <c:v>93.34</c:v>
                </c:pt>
                <c:pt idx="3">
                  <c:v>248.06</c:v>
                </c:pt>
                <c:pt idx="4">
                  <c:v>123.69</c:v>
                </c:pt>
                <c:pt idx="5">
                  <c:v>74.150000000000006</c:v>
                </c:pt>
                <c:pt idx="6">
                  <c:v>224.46</c:v>
                </c:pt>
                <c:pt idx="7">
                  <c:v>289.27999999999997</c:v>
                </c:pt>
                <c:pt idx="8">
                  <c:v>115.37</c:v>
                </c:pt>
                <c:pt idx="9">
                  <c:v>169.95</c:v>
                </c:pt>
                <c:pt idx="10">
                  <c:v>132.83000000000001</c:v>
                </c:pt>
                <c:pt idx="11">
                  <c:v>110.11</c:v>
                </c:pt>
                <c:pt idx="12">
                  <c:v>145.78</c:v>
                </c:pt>
                <c:pt idx="13">
                  <c:v>79.48</c:v>
                </c:pt>
                <c:pt idx="14">
                  <c:v>105.77</c:v>
                </c:pt>
                <c:pt idx="15">
                  <c:v>182.21</c:v>
                </c:pt>
                <c:pt idx="16">
                  <c:v>111.6</c:v>
                </c:pt>
                <c:pt idx="17">
                  <c:v>86.2</c:v>
                </c:pt>
                <c:pt idx="18">
                  <c:v>120.59</c:v>
                </c:pt>
                <c:pt idx="19">
                  <c:v>83.68</c:v>
                </c:pt>
                <c:pt idx="20">
                  <c:v>68.040000000000006</c:v>
                </c:pt>
                <c:pt idx="21">
                  <c:v>73.05</c:v>
                </c:pt>
                <c:pt idx="22">
                  <c:v>47.78</c:v>
                </c:pt>
                <c:pt idx="23">
                  <c:v>42.46</c:v>
                </c:pt>
                <c:pt idx="24">
                  <c:v>45.13</c:v>
                </c:pt>
                <c:pt idx="25">
                  <c:v>53.89</c:v>
                </c:pt>
                <c:pt idx="26">
                  <c:v>49.76</c:v>
                </c:pt>
                <c:pt idx="27">
                  <c:v>37.32</c:v>
                </c:pt>
                <c:pt idx="28">
                  <c:v>34.6</c:v>
                </c:pt>
                <c:pt idx="29">
                  <c:v>26.27</c:v>
                </c:pt>
                <c:pt idx="30">
                  <c:v>35.65</c:v>
                </c:pt>
                <c:pt idx="31">
                  <c:v>40.409999999999997</c:v>
                </c:pt>
                <c:pt idx="32">
                  <c:v>22.86</c:v>
                </c:pt>
                <c:pt idx="33">
                  <c:v>24.21</c:v>
                </c:pt>
                <c:pt idx="34">
                  <c:v>14.03</c:v>
                </c:pt>
                <c:pt idx="35">
                  <c:v>13.74</c:v>
                </c:pt>
                <c:pt idx="36">
                  <c:v>15.97</c:v>
                </c:pt>
                <c:pt idx="37">
                  <c:v>18.559999999999999</c:v>
                </c:pt>
                <c:pt idx="38">
                  <c:v>26.39</c:v>
                </c:pt>
                <c:pt idx="39">
                  <c:v>36.700000000000003</c:v>
                </c:pt>
                <c:pt idx="40">
                  <c:v>42.31</c:v>
                </c:pt>
                <c:pt idx="41">
                  <c:v>42.09</c:v>
                </c:pt>
                <c:pt idx="42">
                  <c:v>36.56</c:v>
                </c:pt>
                <c:pt idx="43">
                  <c:v>38.64</c:v>
                </c:pt>
                <c:pt idx="44">
                  <c:v>37.340000000000003</c:v>
                </c:pt>
                <c:pt idx="45">
                  <c:v>27.71</c:v>
                </c:pt>
                <c:pt idx="46">
                  <c:v>36.03</c:v>
                </c:pt>
                <c:pt idx="47">
                  <c:v>39.92</c:v>
                </c:pt>
                <c:pt idx="48">
                  <c:v>39.54</c:v>
                </c:pt>
                <c:pt idx="49">
                  <c:v>46.09</c:v>
                </c:pt>
                <c:pt idx="50">
                  <c:v>54.91</c:v>
                </c:pt>
                <c:pt idx="51">
                  <c:v>51.46</c:v>
                </c:pt>
                <c:pt idx="52">
                  <c:v>53.93</c:v>
                </c:pt>
              </c:numCache>
            </c:numRef>
          </c:val>
          <c:smooth val="0"/>
          <c:extLst>
            <c:ext xmlns:c16="http://schemas.microsoft.com/office/drawing/2014/chart" uri="{C3380CC4-5D6E-409C-BE32-E72D297353CC}">
              <c16:uniqueId val="{00000003-F9B0-470E-BDBF-E1904C014C8E}"/>
            </c:ext>
          </c:extLst>
        </c:ser>
        <c:ser>
          <c:idx val="4"/>
          <c:order val="4"/>
          <c:tx>
            <c:strRef>
              <c:f>'fuel price references'!$Q$3</c:f>
              <c:strCache>
                <c:ptCount val="1"/>
                <c:pt idx="0">
                  <c:v>FR</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'fuel price references'!$L$4:$L$56</c:f>
              <c:numCache>
                <c:formatCode>m/d/yyyy</c:formatCode>
                <c:ptCount val="53"/>
                <c:pt idx="0">
                  <c:v>44986</c:v>
                </c:pt>
                <c:pt idx="1">
                  <c:v>44958</c:v>
                </c:pt>
                <c:pt idx="2">
                  <c:v>44927</c:v>
                </c:pt>
                <c:pt idx="3">
                  <c:v>44896</c:v>
                </c:pt>
                <c:pt idx="4">
                  <c:v>44866</c:v>
                </c:pt>
                <c:pt idx="5">
                  <c:v>44835</c:v>
                </c:pt>
                <c:pt idx="6">
                  <c:v>44805</c:v>
                </c:pt>
                <c:pt idx="7">
                  <c:v>44774</c:v>
                </c:pt>
                <c:pt idx="8">
                  <c:v>44743</c:v>
                </c:pt>
                <c:pt idx="9">
                  <c:v>44713</c:v>
                </c:pt>
                <c:pt idx="10">
                  <c:v>44682</c:v>
                </c:pt>
                <c:pt idx="11">
                  <c:v>44652</c:v>
                </c:pt>
                <c:pt idx="12">
                  <c:v>44621</c:v>
                </c:pt>
                <c:pt idx="13">
                  <c:v>44593</c:v>
                </c:pt>
                <c:pt idx="14">
                  <c:v>44562</c:v>
                </c:pt>
                <c:pt idx="15">
                  <c:v>44531</c:v>
                </c:pt>
                <c:pt idx="16">
                  <c:v>44501</c:v>
                </c:pt>
                <c:pt idx="17">
                  <c:v>44470</c:v>
                </c:pt>
                <c:pt idx="18">
                  <c:v>44440</c:v>
                </c:pt>
                <c:pt idx="19">
                  <c:v>44409</c:v>
                </c:pt>
                <c:pt idx="20">
                  <c:v>44378</c:v>
                </c:pt>
                <c:pt idx="21">
                  <c:v>44348</c:v>
                </c:pt>
                <c:pt idx="22">
                  <c:v>44317</c:v>
                </c:pt>
                <c:pt idx="23">
                  <c:v>44287</c:v>
                </c:pt>
                <c:pt idx="24">
                  <c:v>44256</c:v>
                </c:pt>
                <c:pt idx="25">
                  <c:v>44228</c:v>
                </c:pt>
                <c:pt idx="26">
                  <c:v>44197</c:v>
                </c:pt>
                <c:pt idx="27">
                  <c:v>44166</c:v>
                </c:pt>
                <c:pt idx="28">
                  <c:v>44136</c:v>
                </c:pt>
                <c:pt idx="29">
                  <c:v>44105</c:v>
                </c:pt>
                <c:pt idx="30">
                  <c:v>44075</c:v>
                </c:pt>
                <c:pt idx="31">
                  <c:v>44044</c:v>
                </c:pt>
                <c:pt idx="32">
                  <c:v>44013</c:v>
                </c:pt>
                <c:pt idx="33">
                  <c:v>43983</c:v>
                </c:pt>
                <c:pt idx="34">
                  <c:v>43952</c:v>
                </c:pt>
                <c:pt idx="35">
                  <c:v>43922</c:v>
                </c:pt>
                <c:pt idx="36">
                  <c:v>43891</c:v>
                </c:pt>
                <c:pt idx="37">
                  <c:v>43862</c:v>
                </c:pt>
                <c:pt idx="38">
                  <c:v>43831</c:v>
                </c:pt>
                <c:pt idx="39">
                  <c:v>43800</c:v>
                </c:pt>
                <c:pt idx="40">
                  <c:v>43770</c:v>
                </c:pt>
                <c:pt idx="41">
                  <c:v>43739</c:v>
                </c:pt>
                <c:pt idx="42">
                  <c:v>43709</c:v>
                </c:pt>
                <c:pt idx="43">
                  <c:v>43678</c:v>
                </c:pt>
                <c:pt idx="44">
                  <c:v>43647</c:v>
                </c:pt>
                <c:pt idx="45">
                  <c:v>43617</c:v>
                </c:pt>
                <c:pt idx="46">
                  <c:v>43586</c:v>
                </c:pt>
                <c:pt idx="47">
                  <c:v>43556</c:v>
                </c:pt>
                <c:pt idx="48">
                  <c:v>43525</c:v>
                </c:pt>
                <c:pt idx="49">
                  <c:v>43497</c:v>
                </c:pt>
                <c:pt idx="50">
                  <c:v>43466</c:v>
                </c:pt>
                <c:pt idx="51">
                  <c:v>43435</c:v>
                </c:pt>
                <c:pt idx="52">
                  <c:v>43405</c:v>
                </c:pt>
              </c:numCache>
            </c:numRef>
          </c:cat>
          <c:val>
            <c:numRef>
              <c:f>'fuel price references'!$Q$4:$Q$56</c:f>
              <c:numCache>
                <c:formatCode>General</c:formatCode>
                <c:ptCount val="53"/>
                <c:pt idx="0">
                  <c:v>111.96</c:v>
                </c:pt>
                <c:pt idx="1">
                  <c:v>148.76</c:v>
                </c:pt>
                <c:pt idx="2">
                  <c:v>132.1</c:v>
                </c:pt>
                <c:pt idx="3">
                  <c:v>270.89</c:v>
                </c:pt>
                <c:pt idx="4">
                  <c:v>191.88</c:v>
                </c:pt>
                <c:pt idx="5">
                  <c:v>178.88</c:v>
                </c:pt>
                <c:pt idx="6">
                  <c:v>394.7</c:v>
                </c:pt>
                <c:pt idx="7">
                  <c:v>492.49</c:v>
                </c:pt>
                <c:pt idx="8">
                  <c:v>400.87</c:v>
                </c:pt>
                <c:pt idx="9">
                  <c:v>248.4</c:v>
                </c:pt>
                <c:pt idx="10">
                  <c:v>197.43</c:v>
                </c:pt>
                <c:pt idx="11">
                  <c:v>233.1</c:v>
                </c:pt>
                <c:pt idx="12">
                  <c:v>295.2</c:v>
                </c:pt>
                <c:pt idx="13">
                  <c:v>185.55</c:v>
                </c:pt>
                <c:pt idx="14">
                  <c:v>211.42</c:v>
                </c:pt>
                <c:pt idx="15">
                  <c:v>274.67</c:v>
                </c:pt>
                <c:pt idx="16">
                  <c:v>217.06</c:v>
                </c:pt>
                <c:pt idx="17">
                  <c:v>172.45</c:v>
                </c:pt>
                <c:pt idx="18">
                  <c:v>135.31</c:v>
                </c:pt>
                <c:pt idx="19">
                  <c:v>77.3</c:v>
                </c:pt>
                <c:pt idx="20">
                  <c:v>78.37</c:v>
                </c:pt>
                <c:pt idx="21">
                  <c:v>73.510000000000005</c:v>
                </c:pt>
                <c:pt idx="22">
                  <c:v>55.28</c:v>
                </c:pt>
                <c:pt idx="23">
                  <c:v>63.1</c:v>
                </c:pt>
                <c:pt idx="24">
                  <c:v>50.22</c:v>
                </c:pt>
                <c:pt idx="25">
                  <c:v>49.01</c:v>
                </c:pt>
                <c:pt idx="26">
                  <c:v>59.48</c:v>
                </c:pt>
                <c:pt idx="27">
                  <c:v>48.42</c:v>
                </c:pt>
                <c:pt idx="28">
                  <c:v>40.11</c:v>
                </c:pt>
                <c:pt idx="29">
                  <c:v>37.89</c:v>
                </c:pt>
                <c:pt idx="30">
                  <c:v>47.2</c:v>
                </c:pt>
                <c:pt idx="31">
                  <c:v>36.75</c:v>
                </c:pt>
                <c:pt idx="32">
                  <c:v>33.409999999999997</c:v>
                </c:pt>
                <c:pt idx="33">
                  <c:v>25.79</c:v>
                </c:pt>
                <c:pt idx="34">
                  <c:v>14.86</c:v>
                </c:pt>
                <c:pt idx="35">
                  <c:v>13.45</c:v>
                </c:pt>
                <c:pt idx="36">
                  <c:v>23.83</c:v>
                </c:pt>
                <c:pt idx="37">
                  <c:v>26.25</c:v>
                </c:pt>
                <c:pt idx="38">
                  <c:v>38.01</c:v>
                </c:pt>
                <c:pt idx="39">
                  <c:v>36.46</c:v>
                </c:pt>
                <c:pt idx="40">
                  <c:v>45.94</c:v>
                </c:pt>
                <c:pt idx="41">
                  <c:v>38.6</c:v>
                </c:pt>
                <c:pt idx="42">
                  <c:v>35.54</c:v>
                </c:pt>
                <c:pt idx="43">
                  <c:v>33.39</c:v>
                </c:pt>
              </c:numCache>
            </c:numRef>
          </c:val>
          <c:smooth val="0"/>
          <c:extLst>
            <c:ext xmlns:c16="http://schemas.microsoft.com/office/drawing/2014/chart" uri="{C3380CC4-5D6E-409C-BE32-E72D297353CC}">
              <c16:uniqueId val="{00000004-F9B0-470E-BDBF-E1904C014C8E}"/>
            </c:ext>
          </c:extLst>
        </c:ser>
        <c:ser>
          <c:idx val="5"/>
          <c:order val="5"/>
          <c:tx>
            <c:strRef>
              <c:f>'fuel price references'!$R$3</c:f>
              <c:strCache>
                <c:ptCount val="1"/>
                <c:pt idx="0">
                  <c:v>BE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'fuel price references'!$L$4:$L$56</c:f>
              <c:numCache>
                <c:formatCode>m/d/yyyy</c:formatCode>
                <c:ptCount val="53"/>
                <c:pt idx="0">
                  <c:v>44986</c:v>
                </c:pt>
                <c:pt idx="1">
                  <c:v>44958</c:v>
                </c:pt>
                <c:pt idx="2">
                  <c:v>44927</c:v>
                </c:pt>
                <c:pt idx="3">
                  <c:v>44896</c:v>
                </c:pt>
                <c:pt idx="4">
                  <c:v>44866</c:v>
                </c:pt>
                <c:pt idx="5">
                  <c:v>44835</c:v>
                </c:pt>
                <c:pt idx="6">
                  <c:v>44805</c:v>
                </c:pt>
                <c:pt idx="7">
                  <c:v>44774</c:v>
                </c:pt>
                <c:pt idx="8">
                  <c:v>44743</c:v>
                </c:pt>
                <c:pt idx="9">
                  <c:v>44713</c:v>
                </c:pt>
                <c:pt idx="10">
                  <c:v>44682</c:v>
                </c:pt>
                <c:pt idx="11">
                  <c:v>44652</c:v>
                </c:pt>
                <c:pt idx="12">
                  <c:v>44621</c:v>
                </c:pt>
                <c:pt idx="13">
                  <c:v>44593</c:v>
                </c:pt>
                <c:pt idx="14">
                  <c:v>44562</c:v>
                </c:pt>
                <c:pt idx="15">
                  <c:v>44531</c:v>
                </c:pt>
                <c:pt idx="16">
                  <c:v>44501</c:v>
                </c:pt>
                <c:pt idx="17">
                  <c:v>44470</c:v>
                </c:pt>
                <c:pt idx="18">
                  <c:v>44440</c:v>
                </c:pt>
                <c:pt idx="19">
                  <c:v>44409</c:v>
                </c:pt>
                <c:pt idx="20">
                  <c:v>44378</c:v>
                </c:pt>
                <c:pt idx="21">
                  <c:v>44348</c:v>
                </c:pt>
                <c:pt idx="22">
                  <c:v>44317</c:v>
                </c:pt>
                <c:pt idx="23">
                  <c:v>44287</c:v>
                </c:pt>
                <c:pt idx="24">
                  <c:v>44256</c:v>
                </c:pt>
                <c:pt idx="25">
                  <c:v>44228</c:v>
                </c:pt>
                <c:pt idx="26">
                  <c:v>44197</c:v>
                </c:pt>
                <c:pt idx="27">
                  <c:v>44166</c:v>
                </c:pt>
                <c:pt idx="28">
                  <c:v>44136</c:v>
                </c:pt>
                <c:pt idx="29">
                  <c:v>44105</c:v>
                </c:pt>
                <c:pt idx="30">
                  <c:v>44075</c:v>
                </c:pt>
                <c:pt idx="31">
                  <c:v>44044</c:v>
                </c:pt>
                <c:pt idx="32">
                  <c:v>44013</c:v>
                </c:pt>
                <c:pt idx="33">
                  <c:v>43983</c:v>
                </c:pt>
                <c:pt idx="34">
                  <c:v>43952</c:v>
                </c:pt>
                <c:pt idx="35">
                  <c:v>43922</c:v>
                </c:pt>
                <c:pt idx="36">
                  <c:v>43891</c:v>
                </c:pt>
                <c:pt idx="37">
                  <c:v>43862</c:v>
                </c:pt>
                <c:pt idx="38">
                  <c:v>43831</c:v>
                </c:pt>
                <c:pt idx="39">
                  <c:v>43800</c:v>
                </c:pt>
                <c:pt idx="40">
                  <c:v>43770</c:v>
                </c:pt>
                <c:pt idx="41">
                  <c:v>43739</c:v>
                </c:pt>
                <c:pt idx="42">
                  <c:v>43709</c:v>
                </c:pt>
                <c:pt idx="43">
                  <c:v>43678</c:v>
                </c:pt>
                <c:pt idx="44">
                  <c:v>43647</c:v>
                </c:pt>
                <c:pt idx="45">
                  <c:v>43617</c:v>
                </c:pt>
                <c:pt idx="46">
                  <c:v>43586</c:v>
                </c:pt>
                <c:pt idx="47">
                  <c:v>43556</c:v>
                </c:pt>
                <c:pt idx="48">
                  <c:v>43525</c:v>
                </c:pt>
                <c:pt idx="49">
                  <c:v>43497</c:v>
                </c:pt>
                <c:pt idx="50">
                  <c:v>43466</c:v>
                </c:pt>
                <c:pt idx="51">
                  <c:v>43435</c:v>
                </c:pt>
                <c:pt idx="52">
                  <c:v>43405</c:v>
                </c:pt>
              </c:numCache>
            </c:numRef>
          </c:cat>
          <c:val>
            <c:numRef>
              <c:f>'fuel price references'!$R$4:$R$56</c:f>
              <c:numCache>
                <c:formatCode>General</c:formatCode>
                <c:ptCount val="53"/>
                <c:pt idx="0">
                  <c:v>109.59</c:v>
                </c:pt>
                <c:pt idx="1">
                  <c:v>143.51</c:v>
                </c:pt>
                <c:pt idx="2">
                  <c:v>130.69999999999999</c:v>
                </c:pt>
                <c:pt idx="3">
                  <c:v>269.27999999999997</c:v>
                </c:pt>
                <c:pt idx="4">
                  <c:v>180.41</c:v>
                </c:pt>
                <c:pt idx="5">
                  <c:v>157.38999999999999</c:v>
                </c:pt>
                <c:pt idx="6">
                  <c:v>346.51</c:v>
                </c:pt>
                <c:pt idx="7">
                  <c:v>448.13</c:v>
                </c:pt>
                <c:pt idx="8">
                  <c:v>321.33</c:v>
                </c:pt>
                <c:pt idx="9">
                  <c:v>219.1</c:v>
                </c:pt>
                <c:pt idx="10">
                  <c:v>176.64</c:v>
                </c:pt>
                <c:pt idx="11">
                  <c:v>186.59</c:v>
                </c:pt>
                <c:pt idx="12">
                  <c:v>265.70999999999998</c:v>
                </c:pt>
                <c:pt idx="13">
                  <c:v>162.63999999999999</c:v>
                </c:pt>
                <c:pt idx="14">
                  <c:v>191.4</c:v>
                </c:pt>
                <c:pt idx="15">
                  <c:v>245.44</c:v>
                </c:pt>
                <c:pt idx="16">
                  <c:v>202.15</c:v>
                </c:pt>
                <c:pt idx="17">
                  <c:v>165.24</c:v>
                </c:pt>
                <c:pt idx="18">
                  <c:v>136.21</c:v>
                </c:pt>
                <c:pt idx="19">
                  <c:v>79.47</c:v>
                </c:pt>
                <c:pt idx="20">
                  <c:v>77.42</c:v>
                </c:pt>
                <c:pt idx="21">
                  <c:v>74.44</c:v>
                </c:pt>
                <c:pt idx="22">
                  <c:v>55.63</c:v>
                </c:pt>
                <c:pt idx="23">
                  <c:v>56.99</c:v>
                </c:pt>
                <c:pt idx="24">
                  <c:v>46.61</c:v>
                </c:pt>
                <c:pt idx="25">
                  <c:v>48.57</c:v>
                </c:pt>
                <c:pt idx="26">
                  <c:v>57.46</c:v>
                </c:pt>
                <c:pt idx="27">
                  <c:v>47.38</c:v>
                </c:pt>
                <c:pt idx="28">
                  <c:v>39.92</c:v>
                </c:pt>
                <c:pt idx="29">
                  <c:v>39.39</c:v>
                </c:pt>
                <c:pt idx="30">
                  <c:v>44.23</c:v>
                </c:pt>
                <c:pt idx="31">
                  <c:v>35.54</c:v>
                </c:pt>
                <c:pt idx="32">
                  <c:v>29.84</c:v>
                </c:pt>
                <c:pt idx="33">
                  <c:v>25.56</c:v>
                </c:pt>
                <c:pt idx="34">
                  <c:v>15.39</c:v>
                </c:pt>
                <c:pt idx="35">
                  <c:v>14.72</c:v>
                </c:pt>
                <c:pt idx="36">
                  <c:v>24.02</c:v>
                </c:pt>
                <c:pt idx="37">
                  <c:v>28.35</c:v>
                </c:pt>
                <c:pt idx="38">
                  <c:v>37.880000000000003</c:v>
                </c:pt>
                <c:pt idx="39">
                  <c:v>36.36</c:v>
                </c:pt>
                <c:pt idx="40">
                  <c:v>44.4</c:v>
                </c:pt>
                <c:pt idx="41">
                  <c:v>37.6</c:v>
                </c:pt>
                <c:pt idx="42">
                  <c:v>33.57</c:v>
                </c:pt>
                <c:pt idx="43">
                  <c:v>33.72</c:v>
                </c:pt>
              </c:numCache>
            </c:numRef>
          </c:val>
          <c:smooth val="0"/>
          <c:extLst>
            <c:ext xmlns:c16="http://schemas.microsoft.com/office/drawing/2014/chart" uri="{C3380CC4-5D6E-409C-BE32-E72D297353CC}">
              <c16:uniqueId val="{00000005-F9B0-470E-BDBF-E1904C014C8E}"/>
            </c:ext>
          </c:extLst>
        </c:ser>
        <c:ser>
          <c:idx val="6"/>
          <c:order val="6"/>
          <c:tx>
            <c:strRef>
              <c:f>'fuel price references'!$S$3</c:f>
              <c:strCache>
                <c:ptCount val="1"/>
                <c:pt idx="0">
                  <c:v>DE-LU</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'fuel price references'!$L$4:$L$56</c:f>
              <c:numCache>
                <c:formatCode>m/d/yyyy</c:formatCode>
                <c:ptCount val="53"/>
                <c:pt idx="0">
                  <c:v>44986</c:v>
                </c:pt>
                <c:pt idx="1">
                  <c:v>44958</c:v>
                </c:pt>
                <c:pt idx="2">
                  <c:v>44927</c:v>
                </c:pt>
                <c:pt idx="3">
                  <c:v>44896</c:v>
                </c:pt>
                <c:pt idx="4">
                  <c:v>44866</c:v>
                </c:pt>
                <c:pt idx="5">
                  <c:v>44835</c:v>
                </c:pt>
                <c:pt idx="6">
                  <c:v>44805</c:v>
                </c:pt>
                <c:pt idx="7">
                  <c:v>44774</c:v>
                </c:pt>
                <c:pt idx="8">
                  <c:v>44743</c:v>
                </c:pt>
                <c:pt idx="9">
                  <c:v>44713</c:v>
                </c:pt>
                <c:pt idx="10">
                  <c:v>44682</c:v>
                </c:pt>
                <c:pt idx="11">
                  <c:v>44652</c:v>
                </c:pt>
                <c:pt idx="12">
                  <c:v>44621</c:v>
                </c:pt>
                <c:pt idx="13">
                  <c:v>44593</c:v>
                </c:pt>
                <c:pt idx="14">
                  <c:v>44562</c:v>
                </c:pt>
                <c:pt idx="15">
                  <c:v>44531</c:v>
                </c:pt>
                <c:pt idx="16">
                  <c:v>44501</c:v>
                </c:pt>
                <c:pt idx="17">
                  <c:v>44470</c:v>
                </c:pt>
                <c:pt idx="18">
                  <c:v>44440</c:v>
                </c:pt>
                <c:pt idx="19">
                  <c:v>44409</c:v>
                </c:pt>
                <c:pt idx="20">
                  <c:v>44378</c:v>
                </c:pt>
                <c:pt idx="21">
                  <c:v>44348</c:v>
                </c:pt>
                <c:pt idx="22">
                  <c:v>44317</c:v>
                </c:pt>
                <c:pt idx="23">
                  <c:v>44287</c:v>
                </c:pt>
                <c:pt idx="24">
                  <c:v>44256</c:v>
                </c:pt>
                <c:pt idx="25">
                  <c:v>44228</c:v>
                </c:pt>
                <c:pt idx="26">
                  <c:v>44197</c:v>
                </c:pt>
                <c:pt idx="27">
                  <c:v>44166</c:v>
                </c:pt>
                <c:pt idx="28">
                  <c:v>44136</c:v>
                </c:pt>
                <c:pt idx="29">
                  <c:v>44105</c:v>
                </c:pt>
                <c:pt idx="30">
                  <c:v>44075</c:v>
                </c:pt>
                <c:pt idx="31">
                  <c:v>44044</c:v>
                </c:pt>
                <c:pt idx="32">
                  <c:v>44013</c:v>
                </c:pt>
                <c:pt idx="33">
                  <c:v>43983</c:v>
                </c:pt>
                <c:pt idx="34">
                  <c:v>43952</c:v>
                </c:pt>
                <c:pt idx="35">
                  <c:v>43922</c:v>
                </c:pt>
                <c:pt idx="36">
                  <c:v>43891</c:v>
                </c:pt>
                <c:pt idx="37">
                  <c:v>43862</c:v>
                </c:pt>
                <c:pt idx="38">
                  <c:v>43831</c:v>
                </c:pt>
                <c:pt idx="39">
                  <c:v>43800</c:v>
                </c:pt>
                <c:pt idx="40">
                  <c:v>43770</c:v>
                </c:pt>
                <c:pt idx="41">
                  <c:v>43739</c:v>
                </c:pt>
                <c:pt idx="42">
                  <c:v>43709</c:v>
                </c:pt>
                <c:pt idx="43">
                  <c:v>43678</c:v>
                </c:pt>
                <c:pt idx="44">
                  <c:v>43647</c:v>
                </c:pt>
                <c:pt idx="45">
                  <c:v>43617</c:v>
                </c:pt>
                <c:pt idx="46">
                  <c:v>43586</c:v>
                </c:pt>
                <c:pt idx="47">
                  <c:v>43556</c:v>
                </c:pt>
                <c:pt idx="48">
                  <c:v>43525</c:v>
                </c:pt>
                <c:pt idx="49">
                  <c:v>43497</c:v>
                </c:pt>
                <c:pt idx="50">
                  <c:v>43466</c:v>
                </c:pt>
                <c:pt idx="51">
                  <c:v>43435</c:v>
                </c:pt>
                <c:pt idx="52">
                  <c:v>43405</c:v>
                </c:pt>
              </c:numCache>
            </c:numRef>
          </c:cat>
          <c:val>
            <c:numRef>
              <c:f>'fuel price references'!$S$4:$S$56</c:f>
              <c:numCache>
                <c:formatCode>General</c:formatCode>
                <c:ptCount val="53"/>
                <c:pt idx="0">
                  <c:v>102.52</c:v>
                </c:pt>
                <c:pt idx="1">
                  <c:v>128.31</c:v>
                </c:pt>
                <c:pt idx="2">
                  <c:v>117.83</c:v>
                </c:pt>
                <c:pt idx="3">
                  <c:v>251.62</c:v>
                </c:pt>
                <c:pt idx="4">
                  <c:v>173.63</c:v>
                </c:pt>
                <c:pt idx="5">
                  <c:v>152.6</c:v>
                </c:pt>
                <c:pt idx="6">
                  <c:v>346.12</c:v>
                </c:pt>
                <c:pt idx="7">
                  <c:v>465.18</c:v>
                </c:pt>
                <c:pt idx="8">
                  <c:v>315</c:v>
                </c:pt>
                <c:pt idx="9">
                  <c:v>218.03</c:v>
                </c:pt>
                <c:pt idx="10">
                  <c:v>177.48</c:v>
                </c:pt>
                <c:pt idx="11">
                  <c:v>165.73</c:v>
                </c:pt>
                <c:pt idx="12">
                  <c:v>252.01</c:v>
                </c:pt>
                <c:pt idx="13">
                  <c:v>128.80000000000001</c:v>
                </c:pt>
                <c:pt idx="14">
                  <c:v>167.73</c:v>
                </c:pt>
                <c:pt idx="15">
                  <c:v>221.06</c:v>
                </c:pt>
                <c:pt idx="16">
                  <c:v>176.15</c:v>
                </c:pt>
                <c:pt idx="17">
                  <c:v>139.49</c:v>
                </c:pt>
                <c:pt idx="18">
                  <c:v>128.37</c:v>
                </c:pt>
                <c:pt idx="19">
                  <c:v>82.7</c:v>
                </c:pt>
                <c:pt idx="20">
                  <c:v>81.37</c:v>
                </c:pt>
                <c:pt idx="21">
                  <c:v>74.08</c:v>
                </c:pt>
                <c:pt idx="22">
                  <c:v>53.35</c:v>
                </c:pt>
                <c:pt idx="23">
                  <c:v>53.61</c:v>
                </c:pt>
                <c:pt idx="24">
                  <c:v>47.16</c:v>
                </c:pt>
                <c:pt idx="25">
                  <c:v>48.7</c:v>
                </c:pt>
                <c:pt idx="26">
                  <c:v>52.81</c:v>
                </c:pt>
                <c:pt idx="27">
                  <c:v>43.52</c:v>
                </c:pt>
                <c:pt idx="28">
                  <c:v>38.79</c:v>
                </c:pt>
                <c:pt idx="29">
                  <c:v>33.97</c:v>
                </c:pt>
                <c:pt idx="30">
                  <c:v>43.69</c:v>
                </c:pt>
                <c:pt idx="31">
                  <c:v>34.86</c:v>
                </c:pt>
                <c:pt idx="32">
                  <c:v>30.06</c:v>
                </c:pt>
                <c:pt idx="33">
                  <c:v>26.18</c:v>
                </c:pt>
                <c:pt idx="34">
                  <c:v>17.600000000000001</c:v>
                </c:pt>
                <c:pt idx="35">
                  <c:v>17.09</c:v>
                </c:pt>
                <c:pt idx="36">
                  <c:v>22.49</c:v>
                </c:pt>
                <c:pt idx="37">
                  <c:v>21.92</c:v>
                </c:pt>
                <c:pt idx="38">
                  <c:v>35.03</c:v>
                </c:pt>
                <c:pt idx="39">
                  <c:v>31.97</c:v>
                </c:pt>
                <c:pt idx="40">
                  <c:v>41</c:v>
                </c:pt>
                <c:pt idx="41">
                  <c:v>36.94</c:v>
                </c:pt>
                <c:pt idx="42">
                  <c:v>35.75</c:v>
                </c:pt>
                <c:pt idx="43">
                  <c:v>36.85</c:v>
                </c:pt>
              </c:numCache>
            </c:numRef>
          </c:val>
          <c:smooth val="0"/>
          <c:extLst>
            <c:ext xmlns:c16="http://schemas.microsoft.com/office/drawing/2014/chart" uri="{C3380CC4-5D6E-409C-BE32-E72D297353CC}">
              <c16:uniqueId val="{00000006-F9B0-470E-BDBF-E1904C014C8E}"/>
            </c:ext>
          </c:extLst>
        </c:ser>
        <c:ser>
          <c:idx val="7"/>
          <c:order val="7"/>
          <c:tx>
            <c:strRef>
              <c:f>'fuel price references'!$T$3</c:f>
              <c:strCache>
                <c:ptCount val="1"/>
                <c:pt idx="0">
                  <c:v>NL</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numRef>
              <c:f>'fuel price references'!$L$4:$L$56</c:f>
              <c:numCache>
                <c:formatCode>m/d/yyyy</c:formatCode>
                <c:ptCount val="53"/>
                <c:pt idx="0">
                  <c:v>44986</c:v>
                </c:pt>
                <c:pt idx="1">
                  <c:v>44958</c:v>
                </c:pt>
                <c:pt idx="2">
                  <c:v>44927</c:v>
                </c:pt>
                <c:pt idx="3">
                  <c:v>44896</c:v>
                </c:pt>
                <c:pt idx="4">
                  <c:v>44866</c:v>
                </c:pt>
                <c:pt idx="5">
                  <c:v>44835</c:v>
                </c:pt>
                <c:pt idx="6">
                  <c:v>44805</c:v>
                </c:pt>
                <c:pt idx="7">
                  <c:v>44774</c:v>
                </c:pt>
                <c:pt idx="8">
                  <c:v>44743</c:v>
                </c:pt>
                <c:pt idx="9">
                  <c:v>44713</c:v>
                </c:pt>
                <c:pt idx="10">
                  <c:v>44682</c:v>
                </c:pt>
                <c:pt idx="11">
                  <c:v>44652</c:v>
                </c:pt>
                <c:pt idx="12">
                  <c:v>44621</c:v>
                </c:pt>
                <c:pt idx="13">
                  <c:v>44593</c:v>
                </c:pt>
                <c:pt idx="14">
                  <c:v>44562</c:v>
                </c:pt>
                <c:pt idx="15">
                  <c:v>44531</c:v>
                </c:pt>
                <c:pt idx="16">
                  <c:v>44501</c:v>
                </c:pt>
                <c:pt idx="17">
                  <c:v>44470</c:v>
                </c:pt>
                <c:pt idx="18">
                  <c:v>44440</c:v>
                </c:pt>
                <c:pt idx="19">
                  <c:v>44409</c:v>
                </c:pt>
                <c:pt idx="20">
                  <c:v>44378</c:v>
                </c:pt>
                <c:pt idx="21">
                  <c:v>44348</c:v>
                </c:pt>
                <c:pt idx="22">
                  <c:v>44317</c:v>
                </c:pt>
                <c:pt idx="23">
                  <c:v>44287</c:v>
                </c:pt>
                <c:pt idx="24">
                  <c:v>44256</c:v>
                </c:pt>
                <c:pt idx="25">
                  <c:v>44228</c:v>
                </c:pt>
                <c:pt idx="26">
                  <c:v>44197</c:v>
                </c:pt>
                <c:pt idx="27">
                  <c:v>44166</c:v>
                </c:pt>
                <c:pt idx="28">
                  <c:v>44136</c:v>
                </c:pt>
                <c:pt idx="29">
                  <c:v>44105</c:v>
                </c:pt>
                <c:pt idx="30">
                  <c:v>44075</c:v>
                </c:pt>
                <c:pt idx="31">
                  <c:v>44044</c:v>
                </c:pt>
                <c:pt idx="32">
                  <c:v>44013</c:v>
                </c:pt>
                <c:pt idx="33">
                  <c:v>43983</c:v>
                </c:pt>
                <c:pt idx="34">
                  <c:v>43952</c:v>
                </c:pt>
                <c:pt idx="35">
                  <c:v>43922</c:v>
                </c:pt>
                <c:pt idx="36">
                  <c:v>43891</c:v>
                </c:pt>
                <c:pt idx="37">
                  <c:v>43862</c:v>
                </c:pt>
                <c:pt idx="38">
                  <c:v>43831</c:v>
                </c:pt>
                <c:pt idx="39">
                  <c:v>43800</c:v>
                </c:pt>
                <c:pt idx="40">
                  <c:v>43770</c:v>
                </c:pt>
                <c:pt idx="41">
                  <c:v>43739</c:v>
                </c:pt>
                <c:pt idx="42">
                  <c:v>43709</c:v>
                </c:pt>
                <c:pt idx="43">
                  <c:v>43678</c:v>
                </c:pt>
                <c:pt idx="44">
                  <c:v>43647</c:v>
                </c:pt>
                <c:pt idx="45">
                  <c:v>43617</c:v>
                </c:pt>
                <c:pt idx="46">
                  <c:v>43586</c:v>
                </c:pt>
                <c:pt idx="47">
                  <c:v>43556</c:v>
                </c:pt>
                <c:pt idx="48">
                  <c:v>43525</c:v>
                </c:pt>
                <c:pt idx="49">
                  <c:v>43497</c:v>
                </c:pt>
                <c:pt idx="50">
                  <c:v>43466</c:v>
                </c:pt>
                <c:pt idx="51">
                  <c:v>43435</c:v>
                </c:pt>
                <c:pt idx="52">
                  <c:v>43405</c:v>
                </c:pt>
              </c:numCache>
            </c:numRef>
          </c:cat>
          <c:val>
            <c:numRef>
              <c:f>'fuel price references'!$T$4:$T$56</c:f>
              <c:numCache>
                <c:formatCode>General</c:formatCode>
                <c:ptCount val="53"/>
                <c:pt idx="0">
                  <c:v>104.56</c:v>
                </c:pt>
                <c:pt idx="1">
                  <c:v>134.85</c:v>
                </c:pt>
                <c:pt idx="2">
                  <c:v>126.01</c:v>
                </c:pt>
                <c:pt idx="3">
                  <c:v>258.89</c:v>
                </c:pt>
                <c:pt idx="4">
                  <c:v>179.19</c:v>
                </c:pt>
                <c:pt idx="5">
                  <c:v>155.41</c:v>
                </c:pt>
                <c:pt idx="6">
                  <c:v>341.88</c:v>
                </c:pt>
                <c:pt idx="7">
                  <c:v>447.06</c:v>
                </c:pt>
                <c:pt idx="8">
                  <c:v>306.60000000000002</c:v>
                </c:pt>
                <c:pt idx="9">
                  <c:v>210.55</c:v>
                </c:pt>
                <c:pt idx="10">
                  <c:v>181.37</c:v>
                </c:pt>
                <c:pt idx="11">
                  <c:v>195.2</c:v>
                </c:pt>
                <c:pt idx="12">
                  <c:v>261.18</c:v>
                </c:pt>
                <c:pt idx="13">
                  <c:v>168.37</c:v>
                </c:pt>
                <c:pt idx="14">
                  <c:v>189.1</c:v>
                </c:pt>
                <c:pt idx="15">
                  <c:v>237.81</c:v>
                </c:pt>
                <c:pt idx="16">
                  <c:v>186.25</c:v>
                </c:pt>
                <c:pt idx="17">
                  <c:v>163.66999999999999</c:v>
                </c:pt>
                <c:pt idx="18">
                  <c:v>136.43</c:v>
                </c:pt>
                <c:pt idx="19">
                  <c:v>86.62</c:v>
                </c:pt>
                <c:pt idx="20">
                  <c:v>82.58</c:v>
                </c:pt>
                <c:pt idx="21">
                  <c:v>76.459999999999994</c:v>
                </c:pt>
                <c:pt idx="22">
                  <c:v>56.13</c:v>
                </c:pt>
                <c:pt idx="23">
                  <c:v>53.83</c:v>
                </c:pt>
                <c:pt idx="24">
                  <c:v>48.88</c:v>
                </c:pt>
                <c:pt idx="25">
                  <c:v>49.23</c:v>
                </c:pt>
                <c:pt idx="26">
                  <c:v>53.63</c:v>
                </c:pt>
                <c:pt idx="27">
                  <c:v>48.26</c:v>
                </c:pt>
                <c:pt idx="28">
                  <c:v>41.04</c:v>
                </c:pt>
                <c:pt idx="29">
                  <c:v>37.11</c:v>
                </c:pt>
                <c:pt idx="30">
                  <c:v>42.62</c:v>
                </c:pt>
                <c:pt idx="31">
                  <c:v>34.020000000000003</c:v>
                </c:pt>
                <c:pt idx="32">
                  <c:v>29.35</c:v>
                </c:pt>
                <c:pt idx="33">
                  <c:v>26.23</c:v>
                </c:pt>
                <c:pt idx="34">
                  <c:v>17.649999999999999</c:v>
                </c:pt>
                <c:pt idx="35">
                  <c:v>19.010000000000002</c:v>
                </c:pt>
                <c:pt idx="36">
                  <c:v>24.74</c:v>
                </c:pt>
                <c:pt idx="37">
                  <c:v>29.56</c:v>
                </c:pt>
                <c:pt idx="38">
                  <c:v>37.1</c:v>
                </c:pt>
                <c:pt idx="39">
                  <c:v>37.39</c:v>
                </c:pt>
                <c:pt idx="40">
                  <c:v>42.71</c:v>
                </c:pt>
                <c:pt idx="41">
                  <c:v>37.94</c:v>
                </c:pt>
                <c:pt idx="42">
                  <c:v>36.57</c:v>
                </c:pt>
                <c:pt idx="43">
                  <c:v>37.44</c:v>
                </c:pt>
              </c:numCache>
            </c:numRef>
          </c:val>
          <c:smooth val="0"/>
          <c:extLst>
            <c:ext xmlns:c16="http://schemas.microsoft.com/office/drawing/2014/chart" uri="{C3380CC4-5D6E-409C-BE32-E72D297353CC}">
              <c16:uniqueId val="{00000007-F9B0-470E-BDBF-E1904C014C8E}"/>
            </c:ext>
          </c:extLst>
        </c:ser>
        <c:dLbls>
          <c:showLegendKey val="0"/>
          <c:showVal val="0"/>
          <c:showCatName val="0"/>
          <c:showSerName val="0"/>
          <c:showPercent val="0"/>
          <c:showBubbleSize val="0"/>
        </c:dLbls>
        <c:marker val="1"/>
        <c:smooth val="0"/>
        <c:axId val="1446959904"/>
        <c:axId val="1153429504"/>
      </c:lineChart>
      <c:dateAx>
        <c:axId val="1446959904"/>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429504"/>
        <c:crosses val="autoZero"/>
        <c:auto val="1"/>
        <c:lblOffset val="100"/>
        <c:baseTimeUnit val="months"/>
      </c:dateAx>
      <c:valAx>
        <c:axId val="1153429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9599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EUR/MWh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'fuel price references'!$M$59</c:f>
              <c:strCache>
                <c:ptCount val="1"/>
                <c:pt idx="0">
                  <c:v>SE1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'fuel price references'!$L$60:$L$83</c:f>
              <c:strCache>
                <c:ptCount val="24"/>
                <c:pt idx="0">
                  <c:v>00 - 01</c:v>
                </c:pt>
                <c:pt idx="1">
                  <c:v>01 - 02</c:v>
                </c:pt>
                <c:pt idx="2">
                  <c:v>02 - 03</c:v>
                </c:pt>
                <c:pt idx="3">
                  <c:v>03 - 04</c:v>
                </c:pt>
                <c:pt idx="4">
                  <c:v>04 - 05</c:v>
                </c:pt>
                <c:pt idx="5">
                  <c:v>05 - 06</c:v>
                </c:pt>
                <c:pt idx="6">
                  <c:v>06 - 07</c:v>
                </c:pt>
                <c:pt idx="7">
                  <c:v>07 - 08</c:v>
                </c:pt>
                <c:pt idx="8">
                  <c:v>08 - 09</c:v>
                </c:pt>
                <c:pt idx="9">
                  <c:v>09 - 10</c:v>
                </c:pt>
                <c:pt idx="10">
                  <c:v>10 - 11</c:v>
                </c:pt>
                <c:pt idx="11">
                  <c:v>11 - 12</c:v>
                </c:pt>
                <c:pt idx="12">
                  <c:v>12 - 13</c:v>
                </c:pt>
                <c:pt idx="13">
                  <c:v>13 - 14</c:v>
                </c:pt>
                <c:pt idx="14">
                  <c:v>14 - 15</c:v>
                </c:pt>
                <c:pt idx="15">
                  <c:v>15 - 16</c:v>
                </c:pt>
                <c:pt idx="16">
                  <c:v>16 - 17</c:v>
                </c:pt>
                <c:pt idx="17">
                  <c:v>17 - 18</c:v>
                </c:pt>
                <c:pt idx="18">
                  <c:v>18 - 19</c:v>
                </c:pt>
                <c:pt idx="19">
                  <c:v>19 - 20</c:v>
                </c:pt>
                <c:pt idx="20">
                  <c:v>20 - 21</c:v>
                </c:pt>
                <c:pt idx="21">
                  <c:v>21 - 22</c:v>
                </c:pt>
                <c:pt idx="22">
                  <c:v>22 - 23</c:v>
                </c:pt>
                <c:pt idx="23">
                  <c:v>23 - 00</c:v>
                </c:pt>
              </c:strCache>
            </c:strRef>
          </c:cat>
          <c:val>
            <c:numRef>
              <c:f>'fuel price references'!$M$60:$M$83</c:f>
              <c:numCache>
                <c:formatCode>General</c:formatCode>
                <c:ptCount val="24"/>
                <c:pt idx="0">
                  <c:v>39.479999999999997</c:v>
                </c:pt>
                <c:pt idx="1">
                  <c:v>36.94</c:v>
                </c:pt>
                <c:pt idx="2">
                  <c:v>36.17</c:v>
                </c:pt>
                <c:pt idx="3">
                  <c:v>36.5</c:v>
                </c:pt>
                <c:pt idx="4">
                  <c:v>39.909999999999997</c:v>
                </c:pt>
                <c:pt idx="5">
                  <c:v>41.89</c:v>
                </c:pt>
                <c:pt idx="6">
                  <c:v>56.2</c:v>
                </c:pt>
                <c:pt idx="7">
                  <c:v>64.819999999999993</c:v>
                </c:pt>
                <c:pt idx="8">
                  <c:v>70.08</c:v>
                </c:pt>
                <c:pt idx="9">
                  <c:v>69.92</c:v>
                </c:pt>
                <c:pt idx="10">
                  <c:v>69.28</c:v>
                </c:pt>
                <c:pt idx="11">
                  <c:v>58.87</c:v>
                </c:pt>
                <c:pt idx="12">
                  <c:v>55.82</c:v>
                </c:pt>
                <c:pt idx="13">
                  <c:v>51.25</c:v>
                </c:pt>
                <c:pt idx="14">
                  <c:v>48.05</c:v>
                </c:pt>
                <c:pt idx="15">
                  <c:v>48.08</c:v>
                </c:pt>
                <c:pt idx="16">
                  <c:v>50.01</c:v>
                </c:pt>
                <c:pt idx="17">
                  <c:v>58.94</c:v>
                </c:pt>
                <c:pt idx="18">
                  <c:v>61.58</c:v>
                </c:pt>
                <c:pt idx="19">
                  <c:v>59.9</c:v>
                </c:pt>
                <c:pt idx="20">
                  <c:v>56.23</c:v>
                </c:pt>
                <c:pt idx="21">
                  <c:v>47.09</c:v>
                </c:pt>
                <c:pt idx="22">
                  <c:v>40.72</c:v>
                </c:pt>
                <c:pt idx="23">
                  <c:v>32.6</c:v>
                </c:pt>
              </c:numCache>
            </c:numRef>
          </c:val>
          <c:smooth val="0"/>
          <c:extLst>
            <c:ext xmlns:c16="http://schemas.microsoft.com/office/drawing/2014/chart" uri="{C3380CC4-5D6E-409C-BE32-E72D297353CC}">
              <c16:uniqueId val="{00000000-B845-4ACE-8B3F-E8504E1EA3CF}"/>
            </c:ext>
          </c:extLst>
        </c:ser>
        <c:ser>
          <c:idx val="1"/>
          <c:order val="1"/>
          <c:tx>
            <c:strRef>
              <c:f>'fuel price references'!$N$59</c:f>
              <c:strCache>
                <c:ptCount val="1"/>
                <c:pt idx="0">
                  <c:v>SE2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'fuel price references'!$L$60:$L$83</c:f>
              <c:strCache>
                <c:ptCount val="24"/>
                <c:pt idx="0">
                  <c:v>00 - 01</c:v>
                </c:pt>
                <c:pt idx="1">
                  <c:v>01 - 02</c:v>
                </c:pt>
                <c:pt idx="2">
                  <c:v>02 - 03</c:v>
                </c:pt>
                <c:pt idx="3">
                  <c:v>03 - 04</c:v>
                </c:pt>
                <c:pt idx="4">
                  <c:v>04 - 05</c:v>
                </c:pt>
                <c:pt idx="5">
                  <c:v>05 - 06</c:v>
                </c:pt>
                <c:pt idx="6">
                  <c:v>06 - 07</c:v>
                </c:pt>
                <c:pt idx="7">
                  <c:v>07 - 08</c:v>
                </c:pt>
                <c:pt idx="8">
                  <c:v>08 - 09</c:v>
                </c:pt>
                <c:pt idx="9">
                  <c:v>09 - 10</c:v>
                </c:pt>
                <c:pt idx="10">
                  <c:v>10 - 11</c:v>
                </c:pt>
                <c:pt idx="11">
                  <c:v>11 - 12</c:v>
                </c:pt>
                <c:pt idx="12">
                  <c:v>12 - 13</c:v>
                </c:pt>
                <c:pt idx="13">
                  <c:v>13 - 14</c:v>
                </c:pt>
                <c:pt idx="14">
                  <c:v>14 - 15</c:v>
                </c:pt>
                <c:pt idx="15">
                  <c:v>15 - 16</c:v>
                </c:pt>
                <c:pt idx="16">
                  <c:v>16 - 17</c:v>
                </c:pt>
                <c:pt idx="17">
                  <c:v>17 - 18</c:v>
                </c:pt>
                <c:pt idx="18">
                  <c:v>18 - 19</c:v>
                </c:pt>
                <c:pt idx="19">
                  <c:v>19 - 20</c:v>
                </c:pt>
                <c:pt idx="20">
                  <c:v>20 - 21</c:v>
                </c:pt>
                <c:pt idx="21">
                  <c:v>21 - 22</c:v>
                </c:pt>
                <c:pt idx="22">
                  <c:v>22 - 23</c:v>
                </c:pt>
                <c:pt idx="23">
                  <c:v>23 - 00</c:v>
                </c:pt>
              </c:strCache>
            </c:strRef>
          </c:cat>
          <c:val>
            <c:numRef>
              <c:f>'fuel price references'!$N$60:$N$83</c:f>
              <c:numCache>
                <c:formatCode>General</c:formatCode>
                <c:ptCount val="24"/>
                <c:pt idx="0">
                  <c:v>39.479999999999997</c:v>
                </c:pt>
                <c:pt idx="1">
                  <c:v>36.94</c:v>
                </c:pt>
                <c:pt idx="2">
                  <c:v>36.17</c:v>
                </c:pt>
                <c:pt idx="3">
                  <c:v>36.5</c:v>
                </c:pt>
                <c:pt idx="4">
                  <c:v>39.909999999999997</c:v>
                </c:pt>
                <c:pt idx="5">
                  <c:v>41.89</c:v>
                </c:pt>
                <c:pt idx="6">
                  <c:v>56.2</c:v>
                </c:pt>
                <c:pt idx="7">
                  <c:v>64.819999999999993</c:v>
                </c:pt>
                <c:pt idx="8">
                  <c:v>70.08</c:v>
                </c:pt>
                <c:pt idx="9">
                  <c:v>69.92</c:v>
                </c:pt>
                <c:pt idx="10">
                  <c:v>69.28</c:v>
                </c:pt>
                <c:pt idx="11">
                  <c:v>58.87</c:v>
                </c:pt>
                <c:pt idx="12">
                  <c:v>55.82</c:v>
                </c:pt>
                <c:pt idx="13">
                  <c:v>51.25</c:v>
                </c:pt>
                <c:pt idx="14">
                  <c:v>48.05</c:v>
                </c:pt>
                <c:pt idx="15">
                  <c:v>48.08</c:v>
                </c:pt>
                <c:pt idx="16">
                  <c:v>50.01</c:v>
                </c:pt>
                <c:pt idx="17">
                  <c:v>58.94</c:v>
                </c:pt>
                <c:pt idx="18">
                  <c:v>61.58</c:v>
                </c:pt>
                <c:pt idx="19">
                  <c:v>59.9</c:v>
                </c:pt>
                <c:pt idx="20">
                  <c:v>56.23</c:v>
                </c:pt>
                <c:pt idx="21">
                  <c:v>47.09</c:v>
                </c:pt>
                <c:pt idx="22">
                  <c:v>40.72</c:v>
                </c:pt>
                <c:pt idx="23">
                  <c:v>32.6</c:v>
                </c:pt>
              </c:numCache>
            </c:numRef>
          </c:val>
          <c:smooth val="0"/>
          <c:extLst>
            <c:ext xmlns:c16="http://schemas.microsoft.com/office/drawing/2014/chart" uri="{C3380CC4-5D6E-409C-BE32-E72D297353CC}">
              <c16:uniqueId val="{00000001-B845-4ACE-8B3F-E8504E1EA3CF}"/>
            </c:ext>
          </c:extLst>
        </c:ser>
        <c:ser>
          <c:idx val="2"/>
          <c:order val="2"/>
          <c:tx>
            <c:strRef>
              <c:f>'fuel price references'!$O$59</c:f>
              <c:strCache>
                <c:ptCount val="1"/>
                <c:pt idx="0">
                  <c:v>SE3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'fuel price references'!$L$60:$L$83</c:f>
              <c:strCache>
                <c:ptCount val="24"/>
                <c:pt idx="0">
                  <c:v>00 - 01</c:v>
                </c:pt>
                <c:pt idx="1">
                  <c:v>01 - 02</c:v>
                </c:pt>
                <c:pt idx="2">
                  <c:v>02 - 03</c:v>
                </c:pt>
                <c:pt idx="3">
                  <c:v>03 - 04</c:v>
                </c:pt>
                <c:pt idx="4">
                  <c:v>04 - 05</c:v>
                </c:pt>
                <c:pt idx="5">
                  <c:v>05 - 06</c:v>
                </c:pt>
                <c:pt idx="6">
                  <c:v>06 - 07</c:v>
                </c:pt>
                <c:pt idx="7">
                  <c:v>07 - 08</c:v>
                </c:pt>
                <c:pt idx="8">
                  <c:v>08 - 09</c:v>
                </c:pt>
                <c:pt idx="9">
                  <c:v>09 - 10</c:v>
                </c:pt>
                <c:pt idx="10">
                  <c:v>10 - 11</c:v>
                </c:pt>
                <c:pt idx="11">
                  <c:v>11 - 12</c:v>
                </c:pt>
                <c:pt idx="12">
                  <c:v>12 - 13</c:v>
                </c:pt>
                <c:pt idx="13">
                  <c:v>13 - 14</c:v>
                </c:pt>
                <c:pt idx="14">
                  <c:v>14 - 15</c:v>
                </c:pt>
                <c:pt idx="15">
                  <c:v>15 - 16</c:v>
                </c:pt>
                <c:pt idx="16">
                  <c:v>16 - 17</c:v>
                </c:pt>
                <c:pt idx="17">
                  <c:v>17 - 18</c:v>
                </c:pt>
                <c:pt idx="18">
                  <c:v>18 - 19</c:v>
                </c:pt>
                <c:pt idx="19">
                  <c:v>19 - 20</c:v>
                </c:pt>
                <c:pt idx="20">
                  <c:v>20 - 21</c:v>
                </c:pt>
                <c:pt idx="21">
                  <c:v>21 - 22</c:v>
                </c:pt>
                <c:pt idx="22">
                  <c:v>22 - 23</c:v>
                </c:pt>
                <c:pt idx="23">
                  <c:v>23 - 00</c:v>
                </c:pt>
              </c:strCache>
            </c:strRef>
          </c:cat>
          <c:val>
            <c:numRef>
              <c:f>'fuel price references'!$O$60:$O$83</c:f>
              <c:numCache>
                <c:formatCode>General</c:formatCode>
                <c:ptCount val="24"/>
                <c:pt idx="0">
                  <c:v>39.479999999999997</c:v>
                </c:pt>
                <c:pt idx="1">
                  <c:v>36.94</c:v>
                </c:pt>
                <c:pt idx="2">
                  <c:v>36.17</c:v>
                </c:pt>
                <c:pt idx="3">
                  <c:v>36.5</c:v>
                </c:pt>
                <c:pt idx="4">
                  <c:v>39.909999999999997</c:v>
                </c:pt>
                <c:pt idx="5">
                  <c:v>41.89</c:v>
                </c:pt>
                <c:pt idx="6">
                  <c:v>56.2</c:v>
                </c:pt>
                <c:pt idx="7">
                  <c:v>68.040000000000006</c:v>
                </c:pt>
                <c:pt idx="8">
                  <c:v>70.08</c:v>
                </c:pt>
                <c:pt idx="9">
                  <c:v>69.92</c:v>
                </c:pt>
                <c:pt idx="10">
                  <c:v>69.28</c:v>
                </c:pt>
                <c:pt idx="11">
                  <c:v>58.87</c:v>
                </c:pt>
                <c:pt idx="12">
                  <c:v>55.82</c:v>
                </c:pt>
                <c:pt idx="13">
                  <c:v>51.25</c:v>
                </c:pt>
                <c:pt idx="14">
                  <c:v>48.05</c:v>
                </c:pt>
                <c:pt idx="15">
                  <c:v>48.08</c:v>
                </c:pt>
                <c:pt idx="16">
                  <c:v>50.01</c:v>
                </c:pt>
                <c:pt idx="17">
                  <c:v>58.94</c:v>
                </c:pt>
                <c:pt idx="18">
                  <c:v>61.58</c:v>
                </c:pt>
                <c:pt idx="19">
                  <c:v>59.9</c:v>
                </c:pt>
                <c:pt idx="20">
                  <c:v>56.23</c:v>
                </c:pt>
                <c:pt idx="21">
                  <c:v>47.09</c:v>
                </c:pt>
                <c:pt idx="22">
                  <c:v>40.72</c:v>
                </c:pt>
                <c:pt idx="23">
                  <c:v>32.6</c:v>
                </c:pt>
              </c:numCache>
            </c:numRef>
          </c:val>
          <c:smooth val="0"/>
          <c:extLst>
            <c:ext xmlns:c16="http://schemas.microsoft.com/office/drawing/2014/chart" uri="{C3380CC4-5D6E-409C-BE32-E72D297353CC}">
              <c16:uniqueId val="{00000002-B845-4ACE-8B3F-E8504E1EA3CF}"/>
            </c:ext>
          </c:extLst>
        </c:ser>
        <c:ser>
          <c:idx val="3"/>
          <c:order val="3"/>
          <c:tx>
            <c:strRef>
              <c:f>'fuel price references'!$P$59</c:f>
              <c:strCache>
                <c:ptCount val="1"/>
                <c:pt idx="0">
                  <c:v>SE4</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'fuel price references'!$L$60:$L$83</c:f>
              <c:strCache>
                <c:ptCount val="24"/>
                <c:pt idx="0">
                  <c:v>00 - 01</c:v>
                </c:pt>
                <c:pt idx="1">
                  <c:v>01 - 02</c:v>
                </c:pt>
                <c:pt idx="2">
                  <c:v>02 - 03</c:v>
                </c:pt>
                <c:pt idx="3">
                  <c:v>03 - 04</c:v>
                </c:pt>
                <c:pt idx="4">
                  <c:v>04 - 05</c:v>
                </c:pt>
                <c:pt idx="5">
                  <c:v>05 - 06</c:v>
                </c:pt>
                <c:pt idx="6">
                  <c:v>06 - 07</c:v>
                </c:pt>
                <c:pt idx="7">
                  <c:v>07 - 08</c:v>
                </c:pt>
                <c:pt idx="8">
                  <c:v>08 - 09</c:v>
                </c:pt>
                <c:pt idx="9">
                  <c:v>09 - 10</c:v>
                </c:pt>
                <c:pt idx="10">
                  <c:v>10 - 11</c:v>
                </c:pt>
                <c:pt idx="11">
                  <c:v>11 - 12</c:v>
                </c:pt>
                <c:pt idx="12">
                  <c:v>12 - 13</c:v>
                </c:pt>
                <c:pt idx="13">
                  <c:v>13 - 14</c:v>
                </c:pt>
                <c:pt idx="14">
                  <c:v>14 - 15</c:v>
                </c:pt>
                <c:pt idx="15">
                  <c:v>15 - 16</c:v>
                </c:pt>
                <c:pt idx="16">
                  <c:v>16 - 17</c:v>
                </c:pt>
                <c:pt idx="17">
                  <c:v>17 - 18</c:v>
                </c:pt>
                <c:pt idx="18">
                  <c:v>18 - 19</c:v>
                </c:pt>
                <c:pt idx="19">
                  <c:v>19 - 20</c:v>
                </c:pt>
                <c:pt idx="20">
                  <c:v>20 - 21</c:v>
                </c:pt>
                <c:pt idx="21">
                  <c:v>21 - 22</c:v>
                </c:pt>
                <c:pt idx="22">
                  <c:v>22 - 23</c:v>
                </c:pt>
                <c:pt idx="23">
                  <c:v>23 - 00</c:v>
                </c:pt>
              </c:strCache>
            </c:strRef>
          </c:cat>
          <c:val>
            <c:numRef>
              <c:f>'fuel price references'!$P$60:$P$83</c:f>
              <c:numCache>
                <c:formatCode>General</c:formatCode>
                <c:ptCount val="24"/>
                <c:pt idx="0">
                  <c:v>39.479999999999997</c:v>
                </c:pt>
                <c:pt idx="1">
                  <c:v>36.94</c:v>
                </c:pt>
                <c:pt idx="2">
                  <c:v>36.17</c:v>
                </c:pt>
                <c:pt idx="3">
                  <c:v>36.5</c:v>
                </c:pt>
                <c:pt idx="4">
                  <c:v>39.909999999999997</c:v>
                </c:pt>
                <c:pt idx="5">
                  <c:v>41.89</c:v>
                </c:pt>
                <c:pt idx="6">
                  <c:v>56.2</c:v>
                </c:pt>
                <c:pt idx="7">
                  <c:v>68.040000000000006</c:v>
                </c:pt>
                <c:pt idx="8">
                  <c:v>70.08</c:v>
                </c:pt>
                <c:pt idx="9">
                  <c:v>69.92</c:v>
                </c:pt>
                <c:pt idx="10">
                  <c:v>69.28</c:v>
                </c:pt>
                <c:pt idx="11">
                  <c:v>58.87</c:v>
                </c:pt>
                <c:pt idx="12">
                  <c:v>55.82</c:v>
                </c:pt>
                <c:pt idx="13">
                  <c:v>51.25</c:v>
                </c:pt>
                <c:pt idx="14">
                  <c:v>48.05</c:v>
                </c:pt>
                <c:pt idx="15">
                  <c:v>48.08</c:v>
                </c:pt>
                <c:pt idx="16">
                  <c:v>50.01</c:v>
                </c:pt>
                <c:pt idx="17">
                  <c:v>58.94</c:v>
                </c:pt>
                <c:pt idx="18">
                  <c:v>61.58</c:v>
                </c:pt>
                <c:pt idx="19">
                  <c:v>59.9</c:v>
                </c:pt>
                <c:pt idx="20">
                  <c:v>56.23</c:v>
                </c:pt>
                <c:pt idx="21">
                  <c:v>52.2</c:v>
                </c:pt>
                <c:pt idx="22">
                  <c:v>40.72</c:v>
                </c:pt>
                <c:pt idx="23">
                  <c:v>32.6</c:v>
                </c:pt>
              </c:numCache>
            </c:numRef>
          </c:val>
          <c:smooth val="0"/>
          <c:extLst>
            <c:ext xmlns:c16="http://schemas.microsoft.com/office/drawing/2014/chart" uri="{C3380CC4-5D6E-409C-BE32-E72D297353CC}">
              <c16:uniqueId val="{00000003-B845-4ACE-8B3F-E8504E1EA3CF}"/>
            </c:ext>
          </c:extLst>
        </c:ser>
        <c:ser>
          <c:idx val="4"/>
          <c:order val="4"/>
          <c:tx>
            <c:strRef>
              <c:f>'fuel price references'!$Q$59</c:f>
              <c:strCache>
                <c:ptCount val="1"/>
                <c:pt idx="0">
                  <c:v>FR</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'fuel price references'!$L$60:$L$83</c:f>
              <c:strCache>
                <c:ptCount val="24"/>
                <c:pt idx="0">
                  <c:v>00 - 01</c:v>
                </c:pt>
                <c:pt idx="1">
                  <c:v>01 - 02</c:v>
                </c:pt>
                <c:pt idx="2">
                  <c:v>02 - 03</c:v>
                </c:pt>
                <c:pt idx="3">
                  <c:v>03 - 04</c:v>
                </c:pt>
                <c:pt idx="4">
                  <c:v>04 - 05</c:v>
                </c:pt>
                <c:pt idx="5">
                  <c:v>05 - 06</c:v>
                </c:pt>
                <c:pt idx="6">
                  <c:v>06 - 07</c:v>
                </c:pt>
                <c:pt idx="7">
                  <c:v>07 - 08</c:v>
                </c:pt>
                <c:pt idx="8">
                  <c:v>08 - 09</c:v>
                </c:pt>
                <c:pt idx="9">
                  <c:v>09 - 10</c:v>
                </c:pt>
                <c:pt idx="10">
                  <c:v>10 - 11</c:v>
                </c:pt>
                <c:pt idx="11">
                  <c:v>11 - 12</c:v>
                </c:pt>
                <c:pt idx="12">
                  <c:v>12 - 13</c:v>
                </c:pt>
                <c:pt idx="13">
                  <c:v>13 - 14</c:v>
                </c:pt>
                <c:pt idx="14">
                  <c:v>14 - 15</c:v>
                </c:pt>
                <c:pt idx="15">
                  <c:v>15 - 16</c:v>
                </c:pt>
                <c:pt idx="16">
                  <c:v>16 - 17</c:v>
                </c:pt>
                <c:pt idx="17">
                  <c:v>17 - 18</c:v>
                </c:pt>
                <c:pt idx="18">
                  <c:v>18 - 19</c:v>
                </c:pt>
                <c:pt idx="19">
                  <c:v>19 - 20</c:v>
                </c:pt>
                <c:pt idx="20">
                  <c:v>20 - 21</c:v>
                </c:pt>
                <c:pt idx="21">
                  <c:v>21 - 22</c:v>
                </c:pt>
                <c:pt idx="22">
                  <c:v>22 - 23</c:v>
                </c:pt>
                <c:pt idx="23">
                  <c:v>23 - 00</c:v>
                </c:pt>
              </c:strCache>
            </c:strRef>
          </c:cat>
          <c:val>
            <c:numRef>
              <c:f>'fuel price references'!$Q$60:$Q$83</c:f>
              <c:numCache>
                <c:formatCode>General</c:formatCode>
                <c:ptCount val="24"/>
                <c:pt idx="0">
                  <c:v>100.19</c:v>
                </c:pt>
                <c:pt idx="1">
                  <c:v>94.35</c:v>
                </c:pt>
                <c:pt idx="2">
                  <c:v>96.76</c:v>
                </c:pt>
                <c:pt idx="3">
                  <c:v>94.98</c:v>
                </c:pt>
                <c:pt idx="4">
                  <c:v>97.18</c:v>
                </c:pt>
                <c:pt idx="5">
                  <c:v>102.78</c:v>
                </c:pt>
                <c:pt idx="6">
                  <c:v>127.97</c:v>
                </c:pt>
                <c:pt idx="7">
                  <c:v>144.47999999999999</c:v>
                </c:pt>
                <c:pt idx="8">
                  <c:v>144.69999999999999</c:v>
                </c:pt>
                <c:pt idx="9">
                  <c:v>130.07</c:v>
                </c:pt>
                <c:pt idx="10">
                  <c:v>108.21</c:v>
                </c:pt>
                <c:pt idx="11">
                  <c:v>96.94</c:v>
                </c:pt>
                <c:pt idx="12">
                  <c:v>94.23</c:v>
                </c:pt>
                <c:pt idx="13">
                  <c:v>89.61</c:v>
                </c:pt>
                <c:pt idx="14">
                  <c:v>88.71</c:v>
                </c:pt>
                <c:pt idx="15">
                  <c:v>86.72</c:v>
                </c:pt>
                <c:pt idx="16">
                  <c:v>92.09</c:v>
                </c:pt>
                <c:pt idx="17">
                  <c:v>103.76</c:v>
                </c:pt>
                <c:pt idx="18">
                  <c:v>128.99</c:v>
                </c:pt>
                <c:pt idx="19">
                  <c:v>142.46</c:v>
                </c:pt>
                <c:pt idx="20">
                  <c:v>147.08000000000001</c:v>
                </c:pt>
                <c:pt idx="21">
                  <c:v>141.33000000000001</c:v>
                </c:pt>
                <c:pt idx="22">
                  <c:v>134.08000000000001</c:v>
                </c:pt>
                <c:pt idx="23">
                  <c:v>123.6</c:v>
                </c:pt>
              </c:numCache>
            </c:numRef>
          </c:val>
          <c:smooth val="0"/>
          <c:extLst>
            <c:ext xmlns:c16="http://schemas.microsoft.com/office/drawing/2014/chart" uri="{C3380CC4-5D6E-409C-BE32-E72D297353CC}">
              <c16:uniqueId val="{00000004-B845-4ACE-8B3F-E8504E1EA3CF}"/>
            </c:ext>
          </c:extLst>
        </c:ser>
        <c:ser>
          <c:idx val="5"/>
          <c:order val="5"/>
          <c:tx>
            <c:strRef>
              <c:f>'fuel price references'!$R$59</c:f>
              <c:strCache>
                <c:ptCount val="1"/>
                <c:pt idx="0">
                  <c:v>BE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'fuel price references'!$L$60:$L$83</c:f>
              <c:strCache>
                <c:ptCount val="24"/>
                <c:pt idx="0">
                  <c:v>00 - 01</c:v>
                </c:pt>
                <c:pt idx="1">
                  <c:v>01 - 02</c:v>
                </c:pt>
                <c:pt idx="2">
                  <c:v>02 - 03</c:v>
                </c:pt>
                <c:pt idx="3">
                  <c:v>03 - 04</c:v>
                </c:pt>
                <c:pt idx="4">
                  <c:v>04 - 05</c:v>
                </c:pt>
                <c:pt idx="5">
                  <c:v>05 - 06</c:v>
                </c:pt>
                <c:pt idx="6">
                  <c:v>06 - 07</c:v>
                </c:pt>
                <c:pt idx="7">
                  <c:v>07 - 08</c:v>
                </c:pt>
                <c:pt idx="8">
                  <c:v>08 - 09</c:v>
                </c:pt>
                <c:pt idx="9">
                  <c:v>09 - 10</c:v>
                </c:pt>
                <c:pt idx="10">
                  <c:v>10 - 11</c:v>
                </c:pt>
                <c:pt idx="11">
                  <c:v>11 - 12</c:v>
                </c:pt>
                <c:pt idx="12">
                  <c:v>12 - 13</c:v>
                </c:pt>
                <c:pt idx="13">
                  <c:v>13 - 14</c:v>
                </c:pt>
                <c:pt idx="14">
                  <c:v>14 - 15</c:v>
                </c:pt>
                <c:pt idx="15">
                  <c:v>15 - 16</c:v>
                </c:pt>
                <c:pt idx="16">
                  <c:v>16 - 17</c:v>
                </c:pt>
                <c:pt idx="17">
                  <c:v>17 - 18</c:v>
                </c:pt>
                <c:pt idx="18">
                  <c:v>18 - 19</c:v>
                </c:pt>
                <c:pt idx="19">
                  <c:v>19 - 20</c:v>
                </c:pt>
                <c:pt idx="20">
                  <c:v>20 - 21</c:v>
                </c:pt>
                <c:pt idx="21">
                  <c:v>21 - 22</c:v>
                </c:pt>
                <c:pt idx="22">
                  <c:v>22 - 23</c:v>
                </c:pt>
                <c:pt idx="23">
                  <c:v>23 - 00</c:v>
                </c:pt>
              </c:strCache>
            </c:strRef>
          </c:cat>
          <c:val>
            <c:numRef>
              <c:f>'fuel price references'!$R$60:$R$83</c:f>
              <c:numCache>
                <c:formatCode>General</c:formatCode>
                <c:ptCount val="24"/>
                <c:pt idx="0">
                  <c:v>100.19</c:v>
                </c:pt>
                <c:pt idx="1">
                  <c:v>94.35</c:v>
                </c:pt>
                <c:pt idx="2">
                  <c:v>96.76</c:v>
                </c:pt>
                <c:pt idx="3">
                  <c:v>94.98</c:v>
                </c:pt>
                <c:pt idx="4">
                  <c:v>97.18</c:v>
                </c:pt>
                <c:pt idx="5">
                  <c:v>102.78</c:v>
                </c:pt>
                <c:pt idx="6">
                  <c:v>127.97</c:v>
                </c:pt>
                <c:pt idx="7">
                  <c:v>144.47999999999999</c:v>
                </c:pt>
                <c:pt idx="8">
                  <c:v>144.69999999999999</c:v>
                </c:pt>
                <c:pt idx="9">
                  <c:v>130.07</c:v>
                </c:pt>
                <c:pt idx="10">
                  <c:v>107.97</c:v>
                </c:pt>
                <c:pt idx="11">
                  <c:v>96.94</c:v>
                </c:pt>
                <c:pt idx="12">
                  <c:v>94.23</c:v>
                </c:pt>
                <c:pt idx="13">
                  <c:v>89.61</c:v>
                </c:pt>
                <c:pt idx="14">
                  <c:v>88.71</c:v>
                </c:pt>
                <c:pt idx="15">
                  <c:v>86.68</c:v>
                </c:pt>
                <c:pt idx="16">
                  <c:v>92.09</c:v>
                </c:pt>
                <c:pt idx="17">
                  <c:v>103.76</c:v>
                </c:pt>
                <c:pt idx="18">
                  <c:v>128.99</c:v>
                </c:pt>
                <c:pt idx="19">
                  <c:v>142.1</c:v>
                </c:pt>
                <c:pt idx="20">
                  <c:v>146.44999999999999</c:v>
                </c:pt>
                <c:pt idx="21">
                  <c:v>134.57</c:v>
                </c:pt>
                <c:pt idx="22">
                  <c:v>129.18</c:v>
                </c:pt>
                <c:pt idx="23">
                  <c:v>106.21</c:v>
                </c:pt>
              </c:numCache>
            </c:numRef>
          </c:val>
          <c:smooth val="0"/>
          <c:extLst>
            <c:ext xmlns:c16="http://schemas.microsoft.com/office/drawing/2014/chart" uri="{C3380CC4-5D6E-409C-BE32-E72D297353CC}">
              <c16:uniqueId val="{00000005-B845-4ACE-8B3F-E8504E1EA3CF}"/>
            </c:ext>
          </c:extLst>
        </c:ser>
        <c:ser>
          <c:idx val="6"/>
          <c:order val="6"/>
          <c:tx>
            <c:strRef>
              <c:f>'fuel price references'!$S$59</c:f>
              <c:strCache>
                <c:ptCount val="1"/>
                <c:pt idx="0">
                  <c:v>DE-LU</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'fuel price references'!$L$60:$L$83</c:f>
              <c:strCache>
                <c:ptCount val="24"/>
                <c:pt idx="0">
                  <c:v>00 - 01</c:v>
                </c:pt>
                <c:pt idx="1">
                  <c:v>01 - 02</c:v>
                </c:pt>
                <c:pt idx="2">
                  <c:v>02 - 03</c:v>
                </c:pt>
                <c:pt idx="3">
                  <c:v>03 - 04</c:v>
                </c:pt>
                <c:pt idx="4">
                  <c:v>04 - 05</c:v>
                </c:pt>
                <c:pt idx="5">
                  <c:v>05 - 06</c:v>
                </c:pt>
                <c:pt idx="6">
                  <c:v>06 - 07</c:v>
                </c:pt>
                <c:pt idx="7">
                  <c:v>07 - 08</c:v>
                </c:pt>
                <c:pt idx="8">
                  <c:v>08 - 09</c:v>
                </c:pt>
                <c:pt idx="9">
                  <c:v>09 - 10</c:v>
                </c:pt>
                <c:pt idx="10">
                  <c:v>10 - 11</c:v>
                </c:pt>
                <c:pt idx="11">
                  <c:v>11 - 12</c:v>
                </c:pt>
                <c:pt idx="12">
                  <c:v>12 - 13</c:v>
                </c:pt>
                <c:pt idx="13">
                  <c:v>13 - 14</c:v>
                </c:pt>
                <c:pt idx="14">
                  <c:v>14 - 15</c:v>
                </c:pt>
                <c:pt idx="15">
                  <c:v>15 - 16</c:v>
                </c:pt>
                <c:pt idx="16">
                  <c:v>16 - 17</c:v>
                </c:pt>
                <c:pt idx="17">
                  <c:v>17 - 18</c:v>
                </c:pt>
                <c:pt idx="18">
                  <c:v>18 - 19</c:v>
                </c:pt>
                <c:pt idx="19">
                  <c:v>19 - 20</c:v>
                </c:pt>
                <c:pt idx="20">
                  <c:v>20 - 21</c:v>
                </c:pt>
                <c:pt idx="21">
                  <c:v>21 - 22</c:v>
                </c:pt>
                <c:pt idx="22">
                  <c:v>22 - 23</c:v>
                </c:pt>
                <c:pt idx="23">
                  <c:v>23 - 00</c:v>
                </c:pt>
              </c:strCache>
            </c:strRef>
          </c:cat>
          <c:val>
            <c:numRef>
              <c:f>'fuel price references'!$S$60:$S$83</c:f>
              <c:numCache>
                <c:formatCode>General</c:formatCode>
                <c:ptCount val="24"/>
                <c:pt idx="0">
                  <c:v>100.19</c:v>
                </c:pt>
                <c:pt idx="1">
                  <c:v>94.35</c:v>
                </c:pt>
                <c:pt idx="2">
                  <c:v>96.76</c:v>
                </c:pt>
                <c:pt idx="3">
                  <c:v>94.98</c:v>
                </c:pt>
                <c:pt idx="4">
                  <c:v>97.18</c:v>
                </c:pt>
                <c:pt idx="5">
                  <c:v>102.78</c:v>
                </c:pt>
                <c:pt idx="6">
                  <c:v>127.97</c:v>
                </c:pt>
                <c:pt idx="7">
                  <c:v>144.47999999999999</c:v>
                </c:pt>
                <c:pt idx="8">
                  <c:v>144.69999999999999</c:v>
                </c:pt>
                <c:pt idx="9">
                  <c:v>130.09</c:v>
                </c:pt>
                <c:pt idx="10">
                  <c:v>108.33</c:v>
                </c:pt>
                <c:pt idx="11">
                  <c:v>96.94</c:v>
                </c:pt>
                <c:pt idx="12">
                  <c:v>94.23</c:v>
                </c:pt>
                <c:pt idx="13">
                  <c:v>89.61</c:v>
                </c:pt>
                <c:pt idx="14">
                  <c:v>88.71</c:v>
                </c:pt>
                <c:pt idx="15">
                  <c:v>86.76</c:v>
                </c:pt>
                <c:pt idx="16">
                  <c:v>92.09</c:v>
                </c:pt>
                <c:pt idx="17">
                  <c:v>103.76</c:v>
                </c:pt>
                <c:pt idx="18">
                  <c:v>128.99</c:v>
                </c:pt>
                <c:pt idx="19">
                  <c:v>142.63999999999999</c:v>
                </c:pt>
                <c:pt idx="20">
                  <c:v>147.41999999999999</c:v>
                </c:pt>
                <c:pt idx="21">
                  <c:v>145.33000000000001</c:v>
                </c:pt>
                <c:pt idx="22">
                  <c:v>132.25</c:v>
                </c:pt>
                <c:pt idx="23">
                  <c:v>127.72</c:v>
                </c:pt>
              </c:numCache>
            </c:numRef>
          </c:val>
          <c:smooth val="0"/>
          <c:extLst>
            <c:ext xmlns:c16="http://schemas.microsoft.com/office/drawing/2014/chart" uri="{C3380CC4-5D6E-409C-BE32-E72D297353CC}">
              <c16:uniqueId val="{00000006-B845-4ACE-8B3F-E8504E1EA3CF}"/>
            </c:ext>
          </c:extLst>
        </c:ser>
        <c:ser>
          <c:idx val="7"/>
          <c:order val="7"/>
          <c:tx>
            <c:strRef>
              <c:f>'fuel price references'!$T$59</c:f>
              <c:strCache>
                <c:ptCount val="1"/>
                <c:pt idx="0">
                  <c:v>NL</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'fuel price references'!$L$60:$L$83</c:f>
              <c:strCache>
                <c:ptCount val="24"/>
                <c:pt idx="0">
                  <c:v>00 - 01</c:v>
                </c:pt>
                <c:pt idx="1">
                  <c:v>01 - 02</c:v>
                </c:pt>
                <c:pt idx="2">
                  <c:v>02 - 03</c:v>
                </c:pt>
                <c:pt idx="3">
                  <c:v>03 - 04</c:v>
                </c:pt>
                <c:pt idx="4">
                  <c:v>04 - 05</c:v>
                </c:pt>
                <c:pt idx="5">
                  <c:v>05 - 06</c:v>
                </c:pt>
                <c:pt idx="6">
                  <c:v>06 - 07</c:v>
                </c:pt>
                <c:pt idx="7">
                  <c:v>07 - 08</c:v>
                </c:pt>
                <c:pt idx="8">
                  <c:v>08 - 09</c:v>
                </c:pt>
                <c:pt idx="9">
                  <c:v>09 - 10</c:v>
                </c:pt>
                <c:pt idx="10">
                  <c:v>10 - 11</c:v>
                </c:pt>
                <c:pt idx="11">
                  <c:v>11 - 12</c:v>
                </c:pt>
                <c:pt idx="12">
                  <c:v>12 - 13</c:v>
                </c:pt>
                <c:pt idx="13">
                  <c:v>13 - 14</c:v>
                </c:pt>
                <c:pt idx="14">
                  <c:v>14 - 15</c:v>
                </c:pt>
                <c:pt idx="15">
                  <c:v>15 - 16</c:v>
                </c:pt>
                <c:pt idx="16">
                  <c:v>16 - 17</c:v>
                </c:pt>
                <c:pt idx="17">
                  <c:v>17 - 18</c:v>
                </c:pt>
                <c:pt idx="18">
                  <c:v>18 - 19</c:v>
                </c:pt>
                <c:pt idx="19">
                  <c:v>19 - 20</c:v>
                </c:pt>
                <c:pt idx="20">
                  <c:v>20 - 21</c:v>
                </c:pt>
                <c:pt idx="21">
                  <c:v>21 - 22</c:v>
                </c:pt>
                <c:pt idx="22">
                  <c:v>22 - 23</c:v>
                </c:pt>
                <c:pt idx="23">
                  <c:v>23 - 00</c:v>
                </c:pt>
              </c:strCache>
            </c:strRef>
          </c:cat>
          <c:val>
            <c:numRef>
              <c:f>'fuel price references'!$T$60:$T$83</c:f>
              <c:numCache>
                <c:formatCode>General</c:formatCode>
                <c:ptCount val="24"/>
                <c:pt idx="0">
                  <c:v>100.19</c:v>
                </c:pt>
                <c:pt idx="1">
                  <c:v>94.35</c:v>
                </c:pt>
                <c:pt idx="2">
                  <c:v>96.76</c:v>
                </c:pt>
                <c:pt idx="3">
                  <c:v>94.98</c:v>
                </c:pt>
                <c:pt idx="4">
                  <c:v>97.18</c:v>
                </c:pt>
                <c:pt idx="5">
                  <c:v>102.78</c:v>
                </c:pt>
                <c:pt idx="6">
                  <c:v>127.97</c:v>
                </c:pt>
                <c:pt idx="7">
                  <c:v>144.47999999999999</c:v>
                </c:pt>
                <c:pt idx="8">
                  <c:v>144.69999999999999</c:v>
                </c:pt>
                <c:pt idx="9">
                  <c:v>130.04</c:v>
                </c:pt>
                <c:pt idx="10">
                  <c:v>102.2</c:v>
                </c:pt>
                <c:pt idx="11">
                  <c:v>96.94</c:v>
                </c:pt>
                <c:pt idx="12">
                  <c:v>94.23</c:v>
                </c:pt>
                <c:pt idx="13">
                  <c:v>89.61</c:v>
                </c:pt>
                <c:pt idx="14">
                  <c:v>88.71</c:v>
                </c:pt>
                <c:pt idx="15">
                  <c:v>86.68</c:v>
                </c:pt>
                <c:pt idx="16">
                  <c:v>92.09</c:v>
                </c:pt>
                <c:pt idx="17">
                  <c:v>103.76</c:v>
                </c:pt>
                <c:pt idx="18">
                  <c:v>128.99</c:v>
                </c:pt>
                <c:pt idx="19">
                  <c:v>142.46</c:v>
                </c:pt>
                <c:pt idx="20">
                  <c:v>147.06</c:v>
                </c:pt>
                <c:pt idx="21">
                  <c:v>139.24</c:v>
                </c:pt>
                <c:pt idx="22">
                  <c:v>125</c:v>
                </c:pt>
                <c:pt idx="23">
                  <c:v>115.86</c:v>
                </c:pt>
              </c:numCache>
            </c:numRef>
          </c:val>
          <c:smooth val="0"/>
          <c:extLst>
            <c:ext xmlns:c16="http://schemas.microsoft.com/office/drawing/2014/chart" uri="{C3380CC4-5D6E-409C-BE32-E72D297353CC}">
              <c16:uniqueId val="{00000007-B845-4ACE-8B3F-E8504E1EA3CF}"/>
            </c:ext>
          </c:extLst>
        </c:ser>
        <c:dLbls>
          <c:showLegendKey val="0"/>
          <c:showVal val="0"/>
          <c:showCatName val="0"/>
          <c:showSerName val="0"/>
          <c:showPercent val="0"/>
          <c:showBubbleSize val="0"/>
        </c:dLbls>
        <c:marker val="1"/>
        <c:smooth val="0"/>
        <c:axId val="797956144"/>
        <c:axId val="793377312"/>
      </c:lineChart>
      <c:catAx>
        <c:axId val="79795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377312"/>
        <c:crosses val="autoZero"/>
        <c:auto val="1"/>
        <c:lblAlgn val="ctr"/>
        <c:lblOffset val="100"/>
        <c:noMultiLvlLbl val="0"/>
      </c:catAx>
      <c:valAx>
        <c:axId val="793377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956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'battery SoH example'!$A$9</c:f>
              <c:strCache>
                <c:ptCount val="1"/>
                <c:pt idx="0">
                  <c:v>State of health</c:v>
                </c:pt>
              </c:strCache>
            </c:strRef>
          </c:tx>
          <c:spPr>
            <a:ln w="19050" cap="rnd">
              <a:solidFill>
                <a:schemeClr val="accent1"/>
              </a:solidFill>
              <a:round/>
            </a:ln>
            <a:effectLst/>
          </c:spPr>
          <c:marker>
            <c:symbol val="none"/>
          </c:marker>
          <c:xVal>
            <c:numRef>
              <c:f>'battery SoH example'!$B$8:$AE$8</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xVal>
          <c:yVal>
            <c:numRef>
              <c:f>'battery SoH example'!$B$9:$AE$9</c:f>
              <c:numCache>
                <c:formatCode>0%</c:formatCode>
                <c:ptCount val="30"/>
                <c:pt idx="0">
                  <c:v>0.99921875000000004</c:v>
                </c:pt>
                <c:pt idx="1">
                  <c:v>0.99687499999999996</c:v>
                </c:pt>
                <c:pt idx="2">
                  <c:v>0.99296874999999996</c:v>
                </c:pt>
                <c:pt idx="3">
                  <c:v>0.98750000000000004</c:v>
                </c:pt>
                <c:pt idx="4">
                  <c:v>0.98046875</c:v>
                </c:pt>
                <c:pt idx="5">
                  <c:v>0.97187500000000004</c:v>
                </c:pt>
                <c:pt idx="6">
                  <c:v>0.96171875000000007</c:v>
                </c:pt>
                <c:pt idx="7">
                  <c:v>0.95000000000000007</c:v>
                </c:pt>
                <c:pt idx="8">
                  <c:v>0.93671875000000004</c:v>
                </c:pt>
                <c:pt idx="9">
                  <c:v>0.921875</c:v>
                </c:pt>
                <c:pt idx="10">
                  <c:v>0.90546875000000004</c:v>
                </c:pt>
                <c:pt idx="11">
                  <c:v>0.88750000000000007</c:v>
                </c:pt>
                <c:pt idx="12">
                  <c:v>0.86796875000000007</c:v>
                </c:pt>
                <c:pt idx="13">
                  <c:v>0.84687500000000004</c:v>
                </c:pt>
                <c:pt idx="14">
                  <c:v>0.82421875000000011</c:v>
                </c:pt>
                <c:pt idx="15">
                  <c:v>0.8</c:v>
                </c:pt>
                <c:pt idx="16">
                  <c:v>0.77421875000000007</c:v>
                </c:pt>
                <c:pt idx="17">
                  <c:v>0.74687500000000018</c:v>
                </c:pt>
                <c:pt idx="18">
                  <c:v>0.71796875000000016</c:v>
                </c:pt>
                <c:pt idx="19">
                  <c:v>0.68750000000000011</c:v>
                </c:pt>
                <c:pt idx="20">
                  <c:v>0.65546875000000016</c:v>
                </c:pt>
                <c:pt idx="21">
                  <c:v>0.62187500000000018</c:v>
                </c:pt>
                <c:pt idx="22">
                  <c:v>0.58671875000000018</c:v>
                </c:pt>
                <c:pt idx="23">
                  <c:v>0.55000000000000027</c:v>
                </c:pt>
                <c:pt idx="24">
                  <c:v>0.51171875000000011</c:v>
                </c:pt>
                <c:pt idx="25">
                  <c:v>0.47187500000000016</c:v>
                </c:pt>
                <c:pt idx="26">
                  <c:v>0.43046875000000029</c:v>
                </c:pt>
                <c:pt idx="27">
                  <c:v>0.38750000000000029</c:v>
                </c:pt>
                <c:pt idx="28">
                  <c:v>0.34296875000000027</c:v>
                </c:pt>
                <c:pt idx="29">
                  <c:v>0.29687500000000044</c:v>
                </c:pt>
              </c:numCache>
            </c:numRef>
          </c:yVal>
          <c:smooth val="0"/>
          <c:extLst>
            <c:ext xmlns:c16="http://schemas.microsoft.com/office/drawing/2014/chart" uri="{C3380CC4-5D6E-409C-BE32-E72D297353CC}">
              <c16:uniqueId val="{00000000-AC66-4582-A061-7EB5D6E11546}"/>
            </c:ext>
          </c:extLst>
        </c:ser>
        <c:ser>
          <c:idx val="1"/>
          <c:order val="1"/>
          <c:tx>
            <c:strRef>
              <c:f>'battery SoH example'!$A$16</c:f>
              <c:strCache>
                <c:ptCount val="1"/>
                <c:pt idx="0">
                  <c:v>Upper SoC</c:v>
                </c:pt>
              </c:strCache>
            </c:strRef>
          </c:tx>
          <c:spPr>
            <a:ln w="19050" cap="rnd">
              <a:solidFill>
                <a:schemeClr val="accent2"/>
              </a:solidFill>
              <a:round/>
            </a:ln>
            <a:effectLst/>
          </c:spPr>
          <c:marker>
            <c:symbol val="none"/>
          </c:marker>
          <c:xVal>
            <c:numRef>
              <c:f>'battery SoH example'!$B$8:$AE$8</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xVal>
          <c:yVal>
            <c:numRef>
              <c:f>'battery SoH example'!$B$16:$AE$16</c:f>
              <c:numCache>
                <c:formatCode>General</c:formatCode>
                <c:ptCount val="30"/>
                <c:pt idx="0" formatCode="0.000000%">
                  <c:v>0.82462858589887622</c:v>
                </c:pt>
                <c:pt idx="1">
                  <c:v>0.82351050338745124</c:v>
                </c:pt>
                <c:pt idx="2">
                  <c:v>0.82163426188230515</c:v>
                </c:pt>
                <c:pt idx="3">
                  <c:v>0.81898081054687499</c:v>
                </c:pt>
                <c:pt idx="4">
                  <c:v>0.8155236884951591</c:v>
                </c:pt>
                <c:pt idx="5">
                  <c:v>0.81122923507690436</c:v>
                </c:pt>
                <c:pt idx="6">
                  <c:v>0.80605686024427414</c:v>
                </c:pt>
                <c:pt idx="7">
                  <c:v>0.79995937500000003</c:v>
                </c:pt>
                <c:pt idx="8">
                  <c:v>0.79288338192701335</c:v>
                </c:pt>
                <c:pt idx="9">
                  <c:v>0.7847697257995605</c:v>
                </c:pt>
                <c:pt idx="10">
                  <c:v>0.7755540042757989</c:v>
                </c:pt>
                <c:pt idx="11">
                  <c:v>0.76516713867187502</c:v>
                </c:pt>
                <c:pt idx="12">
                  <c:v>0.75353600481748584</c:v>
                </c:pt>
                <c:pt idx="13">
                  <c:v>0.74058412399291995</c:v>
                </c:pt>
                <c:pt idx="14">
                  <c:v>0.72623241394758231</c:v>
                </c:pt>
                <c:pt idx="15">
                  <c:v>0.71040000000000003</c:v>
                </c:pt>
                <c:pt idx="16">
                  <c:v>0.69300508621931078</c:v>
                </c:pt>
                <c:pt idx="17">
                  <c:v>0.67396588668823254</c:v>
                </c:pt>
                <c:pt idx="18">
                  <c:v>0.65320161684751521</c:v>
                </c:pt>
                <c:pt idx="19">
                  <c:v>0.63063354492187507</c:v>
                </c:pt>
                <c:pt idx="20">
                  <c:v>0.60618610342741031</c:v>
                </c:pt>
                <c:pt idx="21">
                  <c:v>0.57978806076049816</c:v>
                </c:pt>
                <c:pt idx="22">
                  <c:v>0.55137375286817569</c:v>
                </c:pt>
                <c:pt idx="23">
                  <c:v>0.52088437500000029</c:v>
                </c:pt>
                <c:pt idx="24">
                  <c:v>0.48826933354139335</c:v>
                </c:pt>
                <c:pt idx="25">
                  <c:v>0.4534876579284669</c:v>
                </c:pt>
                <c:pt idx="26">
                  <c:v>0.41650947264432936</c:v>
                </c:pt>
                <c:pt idx="27">
                  <c:v>0.37731752929687529</c:v>
                </c:pt>
                <c:pt idx="28">
                  <c:v>0.33590879877805735</c:v>
                </c:pt>
                <c:pt idx="29">
                  <c:v>0.29229612350463907</c:v>
                </c:pt>
              </c:numCache>
            </c:numRef>
          </c:yVal>
          <c:smooth val="0"/>
          <c:extLst>
            <c:ext xmlns:c16="http://schemas.microsoft.com/office/drawing/2014/chart" uri="{C3380CC4-5D6E-409C-BE32-E72D297353CC}">
              <c16:uniqueId val="{00000003-AC66-4582-A061-7EB5D6E11546}"/>
            </c:ext>
          </c:extLst>
        </c:ser>
        <c:ser>
          <c:idx val="2"/>
          <c:order val="2"/>
          <c:tx>
            <c:strRef>
              <c:f>'battery SoH example'!$A$17</c:f>
              <c:strCache>
                <c:ptCount val="1"/>
                <c:pt idx="0">
                  <c:v>Lower SoC</c:v>
                </c:pt>
              </c:strCache>
            </c:strRef>
          </c:tx>
          <c:spPr>
            <a:ln w="19050" cap="rnd">
              <a:solidFill>
                <a:schemeClr val="accent3"/>
              </a:solidFill>
              <a:round/>
            </a:ln>
            <a:effectLst/>
          </c:spPr>
          <c:marker>
            <c:symbol val="none"/>
          </c:marker>
          <c:xVal>
            <c:numRef>
              <c:f>'battery SoH example'!$B$8:$AE$8</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xVal>
          <c:yVal>
            <c:numRef>
              <c:f>'battery SoH example'!$B$17:$AE$17</c:f>
              <c:numCache>
                <c:formatCode>General</c:formatCode>
                <c:ptCount val="30"/>
                <c:pt idx="0" formatCode="0.000000%">
                  <c:v>0.17459016410112388</c:v>
                </c:pt>
                <c:pt idx="1">
                  <c:v>0.17336449661254877</c:v>
                </c:pt>
                <c:pt idx="2">
                  <c:v>0.17133448811769486</c:v>
                </c:pt>
                <c:pt idx="3">
                  <c:v>0.168519189453125</c:v>
                </c:pt>
                <c:pt idx="4">
                  <c:v>0.16494506150484084</c:v>
                </c:pt>
                <c:pt idx="5">
                  <c:v>0.16064576492309574</c:v>
                </c:pt>
                <c:pt idx="6">
                  <c:v>0.15566188975572592</c:v>
                </c:pt>
                <c:pt idx="7">
                  <c:v>0.15004062500000004</c:v>
                </c:pt>
                <c:pt idx="8">
                  <c:v>0.14383536807298664</c:v>
                </c:pt>
                <c:pt idx="9">
                  <c:v>0.13710527420043944</c:v>
                </c:pt>
                <c:pt idx="10">
                  <c:v>0.1299147457242012</c:v>
                </c:pt>
                <c:pt idx="11">
                  <c:v>0.12233286132812504</c:v>
                </c:pt>
                <c:pt idx="12">
                  <c:v>0.11443274518251423</c:v>
                </c:pt>
                <c:pt idx="13">
                  <c:v>0.10629087600708009</c:v>
                </c:pt>
                <c:pt idx="14">
                  <c:v>9.79863360524178E-2</c:v>
                </c:pt>
                <c:pt idx="15">
                  <c:v>8.9600000000000013E-2</c:v>
                </c:pt>
                <c:pt idx="16">
                  <c:v>8.1213663780689282E-2</c:v>
                </c:pt>
                <c:pt idx="17">
                  <c:v>7.2909113311767637E-2</c:v>
                </c:pt>
                <c:pt idx="18">
                  <c:v>6.4767133152484946E-2</c:v>
                </c:pt>
                <c:pt idx="19">
                  <c:v>5.6866455078125044E-2</c:v>
                </c:pt>
                <c:pt idx="20">
                  <c:v>4.9282646572589905E-2</c:v>
                </c:pt>
                <c:pt idx="21">
                  <c:v>4.2086939239501964E-2</c:v>
                </c:pt>
                <c:pt idx="22">
                  <c:v>3.534499713182454E-2</c:v>
                </c:pt>
                <c:pt idx="23">
                  <c:v>2.9115625000000034E-2</c:v>
                </c:pt>
                <c:pt idx="24">
                  <c:v>2.3449416458606737E-2</c:v>
                </c:pt>
                <c:pt idx="25">
                  <c:v>1.8387342071533225E-2</c:v>
                </c:pt>
                <c:pt idx="26">
                  <c:v>1.3959277355670957E-2</c:v>
                </c:pt>
                <c:pt idx="27">
                  <c:v>1.0182470703125002E-2</c:v>
                </c:pt>
                <c:pt idx="28">
                  <c:v>7.0599512219429172E-3</c:v>
                </c:pt>
                <c:pt idx="29">
                  <c:v>4.5788764953613448E-3</c:v>
                </c:pt>
              </c:numCache>
            </c:numRef>
          </c:yVal>
          <c:smooth val="0"/>
          <c:extLst>
            <c:ext xmlns:c16="http://schemas.microsoft.com/office/drawing/2014/chart" uri="{C3380CC4-5D6E-409C-BE32-E72D297353CC}">
              <c16:uniqueId val="{00000004-AC66-4582-A061-7EB5D6E11546}"/>
            </c:ext>
          </c:extLst>
        </c:ser>
        <c:ser>
          <c:idx val="3"/>
          <c:order val="3"/>
          <c:tx>
            <c:strRef>
              <c:f>'battery SoH example'!$A$13</c:f>
              <c:strCache>
                <c:ptCount val="1"/>
              </c:strCache>
            </c:strRef>
          </c:tx>
          <c:spPr>
            <a:ln w="19050" cap="rnd">
              <a:solidFill>
                <a:schemeClr val="accent4"/>
              </a:solidFill>
              <a:round/>
            </a:ln>
            <a:effectLst/>
          </c:spPr>
          <c:marker>
            <c:symbol val="none"/>
          </c:marker>
          <c:xVal>
            <c:numRef>
              <c:f>'battery SoH example'!$B$8:$AE$8</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xVal>
          <c:yVal>
            <c:numRef>
              <c:f>'battery SoH example'!$B$13:$AE$13</c:f>
              <c:numCache>
                <c:formatCode>General</c:formatCode>
                <c:ptCount val="30"/>
              </c:numCache>
            </c:numRef>
          </c:yVal>
          <c:smooth val="0"/>
          <c:extLst>
            <c:ext xmlns:c16="http://schemas.microsoft.com/office/drawing/2014/chart" uri="{C3380CC4-5D6E-409C-BE32-E72D297353CC}">
              <c16:uniqueId val="{00000005-AC66-4582-A061-7EB5D6E11546}"/>
            </c:ext>
          </c:extLst>
        </c:ser>
        <c:ser>
          <c:idx val="4"/>
          <c:order val="4"/>
          <c:tx>
            <c:strRef>
              <c:f>'battery SoH example'!$A$12</c:f>
              <c:strCache>
                <c:ptCount val="1"/>
                <c:pt idx="0">
                  <c:v>Usable capacity</c:v>
                </c:pt>
              </c:strCache>
            </c:strRef>
          </c:tx>
          <c:spPr>
            <a:ln w="19050" cap="rnd">
              <a:solidFill>
                <a:schemeClr val="accent5"/>
              </a:solidFill>
              <a:prstDash val="sysDash"/>
              <a:round/>
            </a:ln>
            <a:effectLst/>
          </c:spPr>
          <c:marker>
            <c:symbol val="none"/>
          </c:marker>
          <c:xVal>
            <c:numRef>
              <c:f>'battery SoH example'!$B$8:$AE$8</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xVal>
          <c:yVal>
            <c:numRef>
              <c:f>'battery SoH example'!$B$12:$AE$12</c:f>
              <c:numCache>
                <c:formatCode>0%</c:formatCode>
                <c:ptCount val="30"/>
                <c:pt idx="0">
                  <c:v>1.0000591104580805</c:v>
                </c:pt>
                <c:pt idx="1">
                  <c:v>1.0002246258075422</c:v>
                </c:pt>
                <c:pt idx="2">
                  <c:v>1.0004611904070926</c:v>
                </c:pt>
                <c:pt idx="3">
                  <c:v>1.000710186298077</c:v>
                </c:pt>
                <c:pt idx="4">
                  <c:v>1.0008901953697205</c:v>
                </c:pt>
                <c:pt idx="5">
                  <c:v>1.0008976463904746</c:v>
                </c:pt>
                <c:pt idx="6">
                  <c:v>1.0006076469054588</c:v>
                </c:pt>
                <c:pt idx="7">
                  <c:v>0.99987499999999996</c:v>
                </c:pt>
                <c:pt idx="8">
                  <c:v>0.99853540592927192</c:v>
                </c:pt>
                <c:pt idx="9">
                  <c:v>0.9964068486140325</c:v>
                </c:pt>
                <c:pt idx="10">
                  <c:v>0.9932911670024579</c:v>
                </c:pt>
                <c:pt idx="11">
                  <c:v>0.98897581129807688</c:v>
                </c:pt>
                <c:pt idx="12">
                  <c:v>0.98323578405380241</c:v>
                </c:pt>
                <c:pt idx="13">
                  <c:v>0.97583576613206124</c:v>
                </c:pt>
                <c:pt idx="14">
                  <c:v>0.96653242753102231</c:v>
                </c:pt>
                <c:pt idx="15">
                  <c:v>0.95507692307692305</c:v>
                </c:pt>
                <c:pt idx="16">
                  <c:v>0.94121757298249453</c:v>
                </c:pt>
                <c:pt idx="17">
                  <c:v>0.92470272827148448</c:v>
                </c:pt>
                <c:pt idx="18">
                  <c:v>0.90528382106927729</c:v>
                </c:pt>
                <c:pt idx="19">
                  <c:v>0.88271859975961542</c:v>
                </c:pt>
                <c:pt idx="20">
                  <c:v>0.8567745490074159</c:v>
                </c:pt>
                <c:pt idx="21">
                  <c:v>0.82723249464768656</c:v>
                </c:pt>
                <c:pt idx="22">
                  <c:v>0.79389039344054013</c:v>
                </c:pt>
                <c:pt idx="23">
                  <c:v>0.75656730769230796</c:v>
                </c:pt>
                <c:pt idx="24">
                  <c:v>0.71510756474274861</c:v>
                </c:pt>
                <c:pt idx="25">
                  <c:v>0.66938510131835949</c:v>
                </c:pt>
                <c:pt idx="26">
                  <c:v>0.61930799275178205</c:v>
                </c:pt>
                <c:pt idx="27">
                  <c:v>0.56482316706730806</c:v>
                </c:pt>
                <c:pt idx="28">
                  <c:v>0.50592130393248369</c:v>
                </c:pt>
                <c:pt idx="29">
                  <c:v>0.44264191847581191</c:v>
                </c:pt>
              </c:numCache>
            </c:numRef>
          </c:yVal>
          <c:smooth val="0"/>
          <c:extLst>
            <c:ext xmlns:c16="http://schemas.microsoft.com/office/drawing/2014/chart" uri="{C3380CC4-5D6E-409C-BE32-E72D297353CC}">
              <c16:uniqueId val="{00000006-AC66-4582-A061-7EB5D6E11546}"/>
            </c:ext>
          </c:extLst>
        </c:ser>
        <c:dLbls>
          <c:showLegendKey val="0"/>
          <c:showVal val="0"/>
          <c:showCatName val="0"/>
          <c:showSerName val="0"/>
          <c:showPercent val="0"/>
          <c:showBubbleSize val="0"/>
        </c:dLbls>
        <c:axId val="1862210863"/>
        <c:axId val="1885685135"/>
      </c:scatterChart>
      <c:valAx>
        <c:axId val="1862210863"/>
        <c:scaling>
          <c:orientation val="minMax"/>
          <c:max val="3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685135"/>
        <c:crosses val="autoZero"/>
        <c:crossBetween val="midCat"/>
      </c:valAx>
      <c:valAx>
        <c:axId val="1885685135"/>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21086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image" Target="../media/image3.png"/><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image" Target="../media/image4.png"/></Relationships>
</file>

<file path=xl/drawings/_rels/drawing7.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15</xdr:col>
      <xdr:colOff>254374</xdr:colOff>
      <xdr:row>33</xdr:row>
      <xdr:rowOff>172889</xdr:rowOff>
    </xdr:from>
    <xdr:to>
      <xdr:col>26</xdr:col>
      <xdr:colOff>119744</xdr:colOff>
      <xdr:row>48</xdr:row>
      <xdr:rowOff>179293</xdr:rowOff>
    </xdr:to>
    <xdr:graphicFrame macro="">
      <xdr:nvGraphicFramePr>
        <xdr:cNvPr id="3" name="Chart 2">
          <a:extLst>
            <a:ext uri="{FF2B5EF4-FFF2-40B4-BE49-F238E27FC236}">
              <a16:creationId xmlns:a16="http://schemas.microsoft.com/office/drawing/2014/main" id="{7AE709CF-84E3-431A-9388-9874A074C9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490338</xdr:colOff>
      <xdr:row>51</xdr:row>
      <xdr:rowOff>95356</xdr:rowOff>
    </xdr:from>
    <xdr:to>
      <xdr:col>38</xdr:col>
      <xdr:colOff>22413</xdr:colOff>
      <xdr:row>69</xdr:row>
      <xdr:rowOff>104588</xdr:rowOff>
    </xdr:to>
    <xdr:graphicFrame macro="">
      <xdr:nvGraphicFramePr>
        <xdr:cNvPr id="4" name="Chart 3">
          <a:extLst>
            <a:ext uri="{FF2B5EF4-FFF2-40B4-BE49-F238E27FC236}">
              <a16:creationId xmlns:a16="http://schemas.microsoft.com/office/drawing/2014/main" id="{909B0648-F523-14C8-527E-1AD158707F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318155</xdr:colOff>
      <xdr:row>52</xdr:row>
      <xdr:rowOff>17060</xdr:rowOff>
    </xdr:from>
    <xdr:to>
      <xdr:col>24</xdr:col>
      <xdr:colOff>195733</xdr:colOff>
      <xdr:row>70</xdr:row>
      <xdr:rowOff>149385</xdr:rowOff>
    </xdr:to>
    <xdr:graphicFrame macro="">
      <xdr:nvGraphicFramePr>
        <xdr:cNvPr id="2" name="Chart 1">
          <a:extLst>
            <a:ext uri="{FF2B5EF4-FFF2-40B4-BE49-F238E27FC236}">
              <a16:creationId xmlns:a16="http://schemas.microsoft.com/office/drawing/2014/main" id="{83414B15-73AA-465E-BDEB-30F65E209C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47625</xdr:colOff>
      <xdr:row>17</xdr:row>
      <xdr:rowOff>92074</xdr:rowOff>
    </xdr:from>
    <xdr:to>
      <xdr:col>27</xdr:col>
      <xdr:colOff>171450</xdr:colOff>
      <xdr:row>30</xdr:row>
      <xdr:rowOff>120650</xdr:rowOff>
    </xdr:to>
    <xdr:graphicFrame macro="">
      <xdr:nvGraphicFramePr>
        <xdr:cNvPr id="4" name="Chart 3">
          <a:extLst>
            <a:ext uri="{FF2B5EF4-FFF2-40B4-BE49-F238E27FC236}">
              <a16:creationId xmlns:a16="http://schemas.microsoft.com/office/drawing/2014/main" id="{B73F5341-BE1A-FFDC-A26E-B996791184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13</xdr:col>
      <xdr:colOff>3616325</xdr:colOff>
      <xdr:row>21</xdr:row>
      <xdr:rowOff>171450</xdr:rowOff>
    </xdr:from>
    <xdr:to>
      <xdr:col>14</xdr:col>
      <xdr:colOff>1651000</xdr:colOff>
      <xdr:row>35</xdr:row>
      <xdr:rowOff>0</xdr:rowOff>
    </xdr:to>
    <xdr:graphicFrame macro="">
      <xdr:nvGraphicFramePr>
        <xdr:cNvPr id="2" name="Chart 1">
          <a:extLst>
            <a:ext uri="{FF2B5EF4-FFF2-40B4-BE49-F238E27FC236}">
              <a16:creationId xmlns:a16="http://schemas.microsoft.com/office/drawing/2014/main" id="{2E6D1DE9-D4CA-A806-17A6-7324325792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2451100</xdr:colOff>
      <xdr:row>21</xdr:row>
      <xdr:rowOff>139700</xdr:rowOff>
    </xdr:from>
    <xdr:to>
      <xdr:col>15</xdr:col>
      <xdr:colOff>485775</xdr:colOff>
      <xdr:row>35</xdr:row>
      <xdr:rowOff>0</xdr:rowOff>
    </xdr:to>
    <xdr:graphicFrame macro="">
      <xdr:nvGraphicFramePr>
        <xdr:cNvPr id="3" name="Chart 2">
          <a:extLst>
            <a:ext uri="{FF2B5EF4-FFF2-40B4-BE49-F238E27FC236}">
              <a16:creationId xmlns:a16="http://schemas.microsoft.com/office/drawing/2014/main" id="{CAA68985-D6FB-4254-85DF-0F10722C7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95250</xdr:colOff>
      <xdr:row>21</xdr:row>
      <xdr:rowOff>171450</xdr:rowOff>
    </xdr:from>
    <xdr:to>
      <xdr:col>20</xdr:col>
      <xdr:colOff>301625</xdr:colOff>
      <xdr:row>35</xdr:row>
      <xdr:rowOff>0</xdr:rowOff>
    </xdr:to>
    <xdr:graphicFrame macro="">
      <xdr:nvGraphicFramePr>
        <xdr:cNvPr id="5" name="Chart 4">
          <a:extLst>
            <a:ext uri="{FF2B5EF4-FFF2-40B4-BE49-F238E27FC236}">
              <a16:creationId xmlns:a16="http://schemas.microsoft.com/office/drawing/2014/main" id="{4300EEA0-0B10-453D-A0BD-CC05F2D79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82550</xdr:colOff>
      <xdr:row>35</xdr:row>
      <xdr:rowOff>0</xdr:rowOff>
    </xdr:from>
    <xdr:to>
      <xdr:col>20</xdr:col>
      <xdr:colOff>288925</xdr:colOff>
      <xdr:row>46</xdr:row>
      <xdr:rowOff>69850</xdr:rowOff>
    </xdr:to>
    <xdr:graphicFrame macro="">
      <xdr:nvGraphicFramePr>
        <xdr:cNvPr id="6" name="Chart 5">
          <a:extLst>
            <a:ext uri="{FF2B5EF4-FFF2-40B4-BE49-F238E27FC236}">
              <a16:creationId xmlns:a16="http://schemas.microsoft.com/office/drawing/2014/main" id="{1A7D0E7A-D14B-4E9C-BB7B-B54F4C9D2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475145</xdr:colOff>
      <xdr:row>80</xdr:row>
      <xdr:rowOff>1657</xdr:rowOff>
    </xdr:from>
    <xdr:to>
      <xdr:col>12</xdr:col>
      <xdr:colOff>172304</xdr:colOff>
      <xdr:row>103</xdr:row>
      <xdr:rowOff>46992</xdr:rowOff>
    </xdr:to>
    <xdr:pic>
      <xdr:nvPicPr>
        <xdr:cNvPr id="8" name="Picture 7">
          <a:extLst>
            <a:ext uri="{FF2B5EF4-FFF2-40B4-BE49-F238E27FC236}">
              <a16:creationId xmlns:a16="http://schemas.microsoft.com/office/drawing/2014/main" id="{BBFEE502-D124-44F8-FBD4-3D464AA616CE}"/>
            </a:ext>
          </a:extLst>
        </xdr:cNvPr>
        <xdr:cNvPicPr>
          <a:picLocks noChangeAspect="1"/>
        </xdr:cNvPicPr>
      </xdr:nvPicPr>
      <xdr:blipFill>
        <a:blip xmlns:r="http://schemas.openxmlformats.org/officeDocument/2006/relationships" r:embed="rId5"/>
        <a:stretch>
          <a:fillRect/>
        </a:stretch>
      </xdr:blipFill>
      <xdr:spPr>
        <a:xfrm>
          <a:off x="1712015" y="15136744"/>
          <a:ext cx="9576970" cy="4234977"/>
        </a:xfrm>
        <a:prstGeom prst="rect">
          <a:avLst/>
        </a:prstGeom>
      </xdr:spPr>
    </xdr:pic>
    <xdr:clientData/>
  </xdr:twoCellAnchor>
  <xdr:twoCellAnchor editAs="oneCell">
    <xdr:from>
      <xdr:col>2</xdr:col>
      <xdr:colOff>0</xdr:colOff>
      <xdr:row>76</xdr:row>
      <xdr:rowOff>0</xdr:rowOff>
    </xdr:from>
    <xdr:to>
      <xdr:col>9</xdr:col>
      <xdr:colOff>476511</xdr:colOff>
      <xdr:row>85</xdr:row>
      <xdr:rowOff>84815</xdr:rowOff>
    </xdr:to>
    <xdr:pic>
      <xdr:nvPicPr>
        <xdr:cNvPr id="9" name="Picture 8">
          <a:extLst>
            <a:ext uri="{FF2B5EF4-FFF2-40B4-BE49-F238E27FC236}">
              <a16:creationId xmlns:a16="http://schemas.microsoft.com/office/drawing/2014/main" id="{146683B4-5122-76D9-99B3-662FAC8AC6C1}"/>
            </a:ext>
          </a:extLst>
        </xdr:cNvPr>
        <xdr:cNvPicPr>
          <a:picLocks noChangeAspect="1"/>
        </xdr:cNvPicPr>
      </xdr:nvPicPr>
      <xdr:blipFill>
        <a:blip xmlns:r="http://schemas.openxmlformats.org/officeDocument/2006/relationships" r:embed="rId6"/>
        <a:stretch>
          <a:fillRect/>
        </a:stretch>
      </xdr:blipFill>
      <xdr:spPr>
        <a:xfrm>
          <a:off x="1231900" y="14370050"/>
          <a:ext cx="8182690" cy="17462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13</xdr:col>
      <xdr:colOff>3616325</xdr:colOff>
      <xdr:row>20</xdr:row>
      <xdr:rowOff>171450</xdr:rowOff>
    </xdr:from>
    <xdr:to>
      <xdr:col>14</xdr:col>
      <xdr:colOff>1651000</xdr:colOff>
      <xdr:row>34</xdr:row>
      <xdr:rowOff>0</xdr:rowOff>
    </xdr:to>
    <xdr:graphicFrame macro="">
      <xdr:nvGraphicFramePr>
        <xdr:cNvPr id="2" name="Chart 1">
          <a:extLst>
            <a:ext uri="{FF2B5EF4-FFF2-40B4-BE49-F238E27FC236}">
              <a16:creationId xmlns:a16="http://schemas.microsoft.com/office/drawing/2014/main" id="{E98C3D3D-568B-41DB-8B40-C68C2F9CD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2451100</xdr:colOff>
      <xdr:row>20</xdr:row>
      <xdr:rowOff>139700</xdr:rowOff>
    </xdr:from>
    <xdr:to>
      <xdr:col>15</xdr:col>
      <xdr:colOff>485775</xdr:colOff>
      <xdr:row>34</xdr:row>
      <xdr:rowOff>0</xdr:rowOff>
    </xdr:to>
    <xdr:graphicFrame macro="">
      <xdr:nvGraphicFramePr>
        <xdr:cNvPr id="3" name="Chart 2">
          <a:extLst>
            <a:ext uri="{FF2B5EF4-FFF2-40B4-BE49-F238E27FC236}">
              <a16:creationId xmlns:a16="http://schemas.microsoft.com/office/drawing/2014/main" id="{D0925DB1-F871-464F-A7AF-7F94F1C702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95250</xdr:colOff>
      <xdr:row>20</xdr:row>
      <xdr:rowOff>171450</xdr:rowOff>
    </xdr:from>
    <xdr:to>
      <xdr:col>20</xdr:col>
      <xdr:colOff>301625</xdr:colOff>
      <xdr:row>34</xdr:row>
      <xdr:rowOff>0</xdr:rowOff>
    </xdr:to>
    <xdr:graphicFrame macro="">
      <xdr:nvGraphicFramePr>
        <xdr:cNvPr id="4" name="Chart 3">
          <a:extLst>
            <a:ext uri="{FF2B5EF4-FFF2-40B4-BE49-F238E27FC236}">
              <a16:creationId xmlns:a16="http://schemas.microsoft.com/office/drawing/2014/main" id="{A56455F7-90A6-48B3-B1E2-C84CC4F61D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82550</xdr:colOff>
      <xdr:row>34</xdr:row>
      <xdr:rowOff>0</xdr:rowOff>
    </xdr:from>
    <xdr:to>
      <xdr:col>20</xdr:col>
      <xdr:colOff>288925</xdr:colOff>
      <xdr:row>45</xdr:row>
      <xdr:rowOff>69850</xdr:rowOff>
    </xdr:to>
    <xdr:graphicFrame macro="">
      <xdr:nvGraphicFramePr>
        <xdr:cNvPr id="5" name="Chart 4">
          <a:extLst>
            <a:ext uri="{FF2B5EF4-FFF2-40B4-BE49-F238E27FC236}">
              <a16:creationId xmlns:a16="http://schemas.microsoft.com/office/drawing/2014/main" id="{B56C92EF-6639-429C-96CA-AB487517F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475145</xdr:colOff>
      <xdr:row>79</xdr:row>
      <xdr:rowOff>1657</xdr:rowOff>
    </xdr:from>
    <xdr:to>
      <xdr:col>12</xdr:col>
      <xdr:colOff>169583</xdr:colOff>
      <xdr:row>102</xdr:row>
      <xdr:rowOff>45634</xdr:rowOff>
    </xdr:to>
    <xdr:pic>
      <xdr:nvPicPr>
        <xdr:cNvPr id="6" name="Picture 5">
          <a:extLst>
            <a:ext uri="{FF2B5EF4-FFF2-40B4-BE49-F238E27FC236}">
              <a16:creationId xmlns:a16="http://schemas.microsoft.com/office/drawing/2014/main" id="{11243F82-70C4-4C66-87F5-5A6FDB37B055}"/>
            </a:ext>
          </a:extLst>
        </xdr:cNvPr>
        <xdr:cNvPicPr>
          <a:picLocks noChangeAspect="1"/>
        </xdr:cNvPicPr>
      </xdr:nvPicPr>
      <xdr:blipFill>
        <a:blip xmlns:r="http://schemas.openxmlformats.org/officeDocument/2006/relationships" r:embed="rId5"/>
        <a:stretch>
          <a:fillRect/>
        </a:stretch>
      </xdr:blipFill>
      <xdr:spPr>
        <a:xfrm>
          <a:off x="1707045" y="14555857"/>
          <a:ext cx="9555988" cy="4279427"/>
        </a:xfrm>
        <a:prstGeom prst="rect">
          <a:avLst/>
        </a:prstGeom>
      </xdr:spPr>
    </xdr:pic>
    <xdr:clientData/>
  </xdr:twoCellAnchor>
  <xdr:twoCellAnchor editAs="oneCell">
    <xdr:from>
      <xdr:col>2</xdr:col>
      <xdr:colOff>0</xdr:colOff>
      <xdr:row>75</xdr:row>
      <xdr:rowOff>0</xdr:rowOff>
    </xdr:from>
    <xdr:to>
      <xdr:col>9</xdr:col>
      <xdr:colOff>473790</xdr:colOff>
      <xdr:row>84</xdr:row>
      <xdr:rowOff>88900</xdr:rowOff>
    </xdr:to>
    <xdr:pic>
      <xdr:nvPicPr>
        <xdr:cNvPr id="7" name="Picture 6">
          <a:extLst>
            <a:ext uri="{FF2B5EF4-FFF2-40B4-BE49-F238E27FC236}">
              <a16:creationId xmlns:a16="http://schemas.microsoft.com/office/drawing/2014/main" id="{62309F13-F774-4D9E-BEA5-9B6BA0C906AB}"/>
            </a:ext>
          </a:extLst>
        </xdr:cNvPr>
        <xdr:cNvPicPr>
          <a:picLocks noChangeAspect="1"/>
        </xdr:cNvPicPr>
      </xdr:nvPicPr>
      <xdr:blipFill>
        <a:blip xmlns:r="http://schemas.openxmlformats.org/officeDocument/2006/relationships" r:embed="rId6"/>
        <a:stretch>
          <a:fillRect/>
        </a:stretch>
      </xdr:blipFill>
      <xdr:spPr>
        <a:xfrm>
          <a:off x="1231900" y="13817600"/>
          <a:ext cx="8182690" cy="17462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13</xdr:col>
      <xdr:colOff>282575</xdr:colOff>
      <xdr:row>14</xdr:row>
      <xdr:rowOff>146050</xdr:rowOff>
    </xdr:from>
    <xdr:to>
      <xdr:col>20</xdr:col>
      <xdr:colOff>542925</xdr:colOff>
      <xdr:row>29</xdr:row>
      <xdr:rowOff>127000</xdr:rowOff>
    </xdr:to>
    <xdr:graphicFrame macro="">
      <xdr:nvGraphicFramePr>
        <xdr:cNvPr id="6" name="Chart 5">
          <a:extLst>
            <a:ext uri="{FF2B5EF4-FFF2-40B4-BE49-F238E27FC236}">
              <a16:creationId xmlns:a16="http://schemas.microsoft.com/office/drawing/2014/main" id="{75BDEDAD-2E5A-D9CB-756F-F5AD9ECCBB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23</xdr:col>
      <xdr:colOff>12700</xdr:colOff>
      <xdr:row>0</xdr:row>
      <xdr:rowOff>181710</xdr:rowOff>
    </xdr:from>
    <xdr:to>
      <xdr:col>30</xdr:col>
      <xdr:colOff>237103</xdr:colOff>
      <xdr:row>14</xdr:row>
      <xdr:rowOff>135419</xdr:rowOff>
    </xdr:to>
    <xdr:pic>
      <xdr:nvPicPr>
        <xdr:cNvPr id="4" name="Picture 3">
          <a:extLst>
            <a:ext uri="{FF2B5EF4-FFF2-40B4-BE49-F238E27FC236}">
              <a16:creationId xmlns:a16="http://schemas.microsoft.com/office/drawing/2014/main" id="{6E784D79-3E0D-44D4-981D-6BC02FE5F933}"/>
            </a:ext>
          </a:extLst>
        </xdr:cNvPr>
        <xdr:cNvPicPr>
          <a:picLocks noChangeAspect="1"/>
        </xdr:cNvPicPr>
      </xdr:nvPicPr>
      <xdr:blipFill>
        <a:blip xmlns:r="http://schemas.openxmlformats.org/officeDocument/2006/relationships" r:embed="rId1"/>
        <a:stretch>
          <a:fillRect/>
        </a:stretch>
      </xdr:blipFill>
      <xdr:spPr>
        <a:xfrm>
          <a:off x="19342100" y="181710"/>
          <a:ext cx="4490700" cy="2546323"/>
        </a:xfrm>
        <a:prstGeom prst="rect">
          <a:avLst/>
        </a:prstGeom>
      </xdr:spPr>
    </xdr:pic>
    <xdr:clientData/>
  </xdr:twoCellAnchor>
  <xdr:twoCellAnchor>
    <xdr:from>
      <xdr:col>11</xdr:col>
      <xdr:colOff>365125</xdr:colOff>
      <xdr:row>66</xdr:row>
      <xdr:rowOff>76200</xdr:rowOff>
    </xdr:from>
    <xdr:to>
      <xdr:col>19</xdr:col>
      <xdr:colOff>60325</xdr:colOff>
      <xdr:row>80</xdr:row>
      <xdr:rowOff>57150</xdr:rowOff>
    </xdr:to>
    <xdr:graphicFrame macro="">
      <xdr:nvGraphicFramePr>
        <xdr:cNvPr id="2" name="Chart 1">
          <a:extLst>
            <a:ext uri="{FF2B5EF4-FFF2-40B4-BE49-F238E27FC236}">
              <a16:creationId xmlns:a16="http://schemas.microsoft.com/office/drawing/2014/main" id="{6252952A-9CC7-E4DE-333C-82579C9EF9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60325</xdr:colOff>
      <xdr:row>66</xdr:row>
      <xdr:rowOff>76200</xdr:rowOff>
    </xdr:from>
    <xdr:to>
      <xdr:col>26</xdr:col>
      <xdr:colOff>409575</xdr:colOff>
      <xdr:row>80</xdr:row>
      <xdr:rowOff>57150</xdr:rowOff>
    </xdr:to>
    <xdr:graphicFrame macro="">
      <xdr:nvGraphicFramePr>
        <xdr:cNvPr id="5" name="Chart 4">
          <a:extLst>
            <a:ext uri="{FF2B5EF4-FFF2-40B4-BE49-F238E27FC236}">
              <a16:creationId xmlns:a16="http://schemas.microsoft.com/office/drawing/2014/main" id="{4C2B4172-7BBE-B8A2-A541-611B8D1625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30</xdr:col>
      <xdr:colOff>234951</xdr:colOff>
      <xdr:row>1</xdr:row>
      <xdr:rowOff>133558</xdr:rowOff>
    </xdr:from>
    <xdr:to>
      <xdr:col>37</xdr:col>
      <xdr:colOff>522519</xdr:colOff>
      <xdr:row>15</xdr:row>
      <xdr:rowOff>30486</xdr:rowOff>
    </xdr:to>
    <xdr:pic>
      <xdr:nvPicPr>
        <xdr:cNvPr id="6" name="Picture 5">
          <a:extLst>
            <a:ext uri="{FF2B5EF4-FFF2-40B4-BE49-F238E27FC236}">
              <a16:creationId xmlns:a16="http://schemas.microsoft.com/office/drawing/2014/main" id="{24E82DB1-B4DB-6C1F-DC44-960D9B33FBCE}"/>
            </a:ext>
          </a:extLst>
        </xdr:cNvPr>
        <xdr:cNvPicPr>
          <a:picLocks noChangeAspect="1"/>
        </xdr:cNvPicPr>
      </xdr:nvPicPr>
      <xdr:blipFill>
        <a:blip xmlns:r="http://schemas.openxmlformats.org/officeDocument/2006/relationships" r:embed="rId4"/>
        <a:stretch>
          <a:fillRect/>
        </a:stretch>
      </xdr:blipFill>
      <xdr:spPr>
        <a:xfrm>
          <a:off x="21355051" y="317708"/>
          <a:ext cx="4603750" cy="2486817"/>
        </a:xfrm>
        <a:prstGeom prst="rect">
          <a:avLst/>
        </a:prstGeom>
      </xdr:spPr>
    </xdr:pic>
    <xdr:clientData/>
  </xdr:twoCellAnchor>
  <xdr:twoCellAnchor>
    <xdr:from>
      <xdr:col>11</xdr:col>
      <xdr:colOff>529121</xdr:colOff>
      <xdr:row>51</xdr:row>
      <xdr:rowOff>30922</xdr:rowOff>
    </xdr:from>
    <xdr:to>
      <xdr:col>19</xdr:col>
      <xdr:colOff>84621</xdr:colOff>
      <xdr:row>65</xdr:row>
      <xdr:rowOff>183321</xdr:rowOff>
    </xdr:to>
    <xdr:graphicFrame macro="">
      <xdr:nvGraphicFramePr>
        <xdr:cNvPr id="3" name="Chart 2">
          <a:extLst>
            <a:ext uri="{FF2B5EF4-FFF2-40B4-BE49-F238E27FC236}">
              <a16:creationId xmlns:a16="http://schemas.microsoft.com/office/drawing/2014/main" id="{8AF3F405-98D3-5E69-8F39-8F72261850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180975</xdr:colOff>
      <xdr:row>109</xdr:row>
      <xdr:rowOff>158750</xdr:rowOff>
    </xdr:from>
    <xdr:to>
      <xdr:col>24</xdr:col>
      <xdr:colOff>158750</xdr:colOff>
      <xdr:row>138</xdr:row>
      <xdr:rowOff>139700</xdr:rowOff>
    </xdr:to>
    <xdr:graphicFrame macro="">
      <xdr:nvGraphicFramePr>
        <xdr:cNvPr id="7" name="Chart 6">
          <a:extLst>
            <a:ext uri="{FF2B5EF4-FFF2-40B4-BE49-F238E27FC236}">
              <a16:creationId xmlns:a16="http://schemas.microsoft.com/office/drawing/2014/main" id="{17A6A6DE-65DA-E28B-54B2-D54FE5C4B6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396875</xdr:colOff>
      <xdr:row>12</xdr:row>
      <xdr:rowOff>92075</xdr:rowOff>
    </xdr:from>
    <xdr:to>
      <xdr:col>13</xdr:col>
      <xdr:colOff>92075</xdr:colOff>
      <xdr:row>27</xdr:row>
      <xdr:rowOff>73025</xdr:rowOff>
    </xdr:to>
    <xdr:graphicFrame macro="">
      <xdr:nvGraphicFramePr>
        <xdr:cNvPr id="44" name="Chart 43">
          <a:extLst>
            <a:ext uri="{FF2B5EF4-FFF2-40B4-BE49-F238E27FC236}">
              <a16:creationId xmlns:a16="http://schemas.microsoft.com/office/drawing/2014/main" id="{51FF4EBF-1789-FF43-1BEF-5BBE88DF6C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549274</xdr:colOff>
      <xdr:row>16</xdr:row>
      <xdr:rowOff>133350</xdr:rowOff>
    </xdr:from>
    <xdr:to>
      <xdr:col>37</xdr:col>
      <xdr:colOff>273049</xdr:colOff>
      <xdr:row>38</xdr:row>
      <xdr:rowOff>161925</xdr:rowOff>
    </xdr:to>
    <xdr:graphicFrame macro="">
      <xdr:nvGraphicFramePr>
        <xdr:cNvPr id="45" name="Chart 44">
          <a:extLst>
            <a:ext uri="{FF2B5EF4-FFF2-40B4-BE49-F238E27FC236}">
              <a16:creationId xmlns:a16="http://schemas.microsoft.com/office/drawing/2014/main" id="{5989D8BE-ED41-6E9F-C908-26361AA17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314325</xdr:colOff>
      <xdr:row>60</xdr:row>
      <xdr:rowOff>47625</xdr:rowOff>
    </xdr:from>
    <xdr:to>
      <xdr:col>30</xdr:col>
      <xdr:colOff>9525</xdr:colOff>
      <xdr:row>75</xdr:row>
      <xdr:rowOff>28575</xdr:rowOff>
    </xdr:to>
    <xdr:graphicFrame macro="">
      <xdr:nvGraphicFramePr>
        <xdr:cNvPr id="46" name="Chart 45">
          <a:extLst>
            <a:ext uri="{FF2B5EF4-FFF2-40B4-BE49-F238E27FC236}">
              <a16:creationId xmlns:a16="http://schemas.microsoft.com/office/drawing/2014/main" id="{174A1E5B-C1BD-A940-0508-21BBB1E76B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33</xdr:col>
      <xdr:colOff>511175</xdr:colOff>
      <xdr:row>15</xdr:row>
      <xdr:rowOff>25400</xdr:rowOff>
    </xdr:from>
    <xdr:to>
      <xdr:col>39</xdr:col>
      <xdr:colOff>565150</xdr:colOff>
      <xdr:row>31</xdr:row>
      <xdr:rowOff>76200</xdr:rowOff>
    </xdr:to>
    <xdr:graphicFrame macro="">
      <xdr:nvGraphicFramePr>
        <xdr:cNvPr id="2" name="Chart 1">
          <a:extLst>
            <a:ext uri="{FF2B5EF4-FFF2-40B4-BE49-F238E27FC236}">
              <a16:creationId xmlns:a16="http://schemas.microsoft.com/office/drawing/2014/main" id="{5FD4D5E9-B988-65FA-ECE2-534C2EB92C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hyperlink" Target="https://firmalan.com/sv/lana-pengar/jamfor-lan/" TargetMode="External"/><Relationship Id="rId7" Type="http://schemas.openxmlformats.org/officeDocument/2006/relationships/printerSettings" Target="../printerSettings/printerSettings3.bin"/><Relationship Id="rId2" Type="http://schemas.openxmlformats.org/officeDocument/2006/relationships/hyperlink" Target="https://firmalan.com/sv/lana-pengar/jamfor-lan/" TargetMode="External"/><Relationship Id="rId1" Type="http://schemas.openxmlformats.org/officeDocument/2006/relationships/hyperlink" Target="https://www.pwc.se/sv/pdf-reports/corporate-finance/riskpremiestudien-2021.pdf,%20samt%20https:/www.riksgalden.se/sv/var-verksamhet/statslanerantan/" TargetMode="External"/><Relationship Id="rId6" Type="http://schemas.openxmlformats.org/officeDocument/2006/relationships/hyperlink" Target="https://www.eea.europa.eu/ims/greenhouse-gas-emission-intensity-of-1" TargetMode="External"/><Relationship Id="rId5" Type="http://schemas.openxmlformats.org/officeDocument/2006/relationships/hyperlink" Target="https://trafikverket.diva-portal.org/smash/get/diva2:1749263/FULLTEXT01.pdf" TargetMode="External"/><Relationship Id="rId10" Type="http://schemas.openxmlformats.org/officeDocument/2006/relationships/comments" Target="../comments1.xml"/><Relationship Id="rId4" Type="http://schemas.openxmlformats.org/officeDocument/2006/relationships/hyperlink" Target="https://www.elaad.nl/uploads/files/Auke_Hoekstra_-_Electric_trucks_economically_and_environmentally_desirable_but_misunderstood.pdf" TargetMode="External"/><Relationship Id="rId9"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8" Type="http://schemas.openxmlformats.org/officeDocument/2006/relationships/hyperlink" Target="https://naturvardsverket.diva-portal.org/smash/get/diva2:1540012/FULLTEXT01.pdf" TargetMode="External"/><Relationship Id="rId13" Type="http://schemas.openxmlformats.org/officeDocument/2006/relationships/hyperlink" Target="https://trafikverket.diva-portal.org/smash/get/diva2:1749263/FULLTEXT01.pdf" TargetMode="External"/><Relationship Id="rId3" Type="http://schemas.openxmlformats.org/officeDocument/2006/relationships/hyperlink" Target="https://firmalan.com/sv/lana-pengar/jamfor-lan/" TargetMode="External"/><Relationship Id="rId7" Type="http://schemas.openxmlformats.org/officeDocument/2006/relationships/hyperlink" Target="https://drivkraftsverige.se/statistik/priser/mer-prisstatistik/arsmedelspriser-motorbranslen/" TargetMode="External"/><Relationship Id="rId12" Type="http://schemas.openxmlformats.org/officeDocument/2006/relationships/hyperlink" Target="https://www.ekonomifakta.se/fakta/energi/styrmedel/konsumtionsskatter-pa-diesel/" TargetMode="External"/><Relationship Id="rId2" Type="http://schemas.openxmlformats.org/officeDocument/2006/relationships/hyperlink" Target="https://firmalan.com/sv/lana-pengar/jamfor-lan/" TargetMode="External"/><Relationship Id="rId16" Type="http://schemas.openxmlformats.org/officeDocument/2006/relationships/drawing" Target="../drawings/drawing4.xml"/><Relationship Id="rId1" Type="http://schemas.openxmlformats.org/officeDocument/2006/relationships/hyperlink" Target="https://www.pwc.se/sv/pdf-reports/corporate-finance/riskpremiestudien-2021.pdf,%20samt%20https:/www.riksgalden.se/sv/var-verksamhet/statslanerantan/" TargetMode="External"/><Relationship Id="rId6" Type="http://schemas.openxmlformats.org/officeDocument/2006/relationships/hyperlink" Target="https://www.elaad.nl/uploads/files/Auke_Hoekstra_-_Electric_trucks_economically_and_environmentally_desirable_but_misunderstood.pdf" TargetMode="External"/><Relationship Id="rId11" Type="http://schemas.openxmlformats.org/officeDocument/2006/relationships/hyperlink" Target="https://www.nordpoolgroup.com/Market-data1/Dayahead/Area-Prices/SE/Hourly/?view=table" TargetMode="External"/><Relationship Id="rId5" Type="http://schemas.openxmlformats.org/officeDocument/2006/relationships/hyperlink" Target="https://www.trafikverket.se/contentassets/4b1c1005597d47bda386d81dd3444b24/asek-2021/12_klimateffekter_a70.pdf" TargetMode="External"/><Relationship Id="rId15" Type="http://schemas.openxmlformats.org/officeDocument/2006/relationships/printerSettings" Target="../printerSettings/printerSettings4.bin"/><Relationship Id="rId10" Type="http://schemas.openxmlformats.org/officeDocument/2006/relationships/hyperlink" Target="https://www.nordpoolgroup.com/Market-data1/Dayahead/Area-Prices/SE/Hourly/?view=table" TargetMode="External"/><Relationship Id="rId4" Type="http://schemas.openxmlformats.org/officeDocument/2006/relationships/hyperlink" Target="https://www.nordpoolgroup.com/Market-data1/Dayahead/Area-Prices/SE/Hourly/?view=table" TargetMode="External"/><Relationship Id="rId9" Type="http://schemas.openxmlformats.org/officeDocument/2006/relationships/hyperlink" Target="https://www.nordpoolgroup.com/Market-data1/Dayahead/Area-Prices/SE/Hourly/?view=table" TargetMode="External"/><Relationship Id="rId14" Type="http://schemas.openxmlformats.org/officeDocument/2006/relationships/hyperlink" Target="https://www.energimyndigheten.se/globalassets/statistik/drivmedel-2018.pdf" TargetMode="Externa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1.bin"/><Relationship Id="rId1" Type="http://schemas.openxmlformats.org/officeDocument/2006/relationships/hyperlink" Target="https://www.cargopedia.net/europe-fuel-prices"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015A1-0DFF-426A-898C-9A2DF405E2A0}">
  <dimension ref="A1:AN80"/>
  <sheetViews>
    <sheetView zoomScaleNormal="100" workbookViewId="0">
      <selection activeCell="X21" sqref="X21"/>
    </sheetView>
  </sheetViews>
  <sheetFormatPr defaultColWidth="8.81640625" defaultRowHeight="14.5" x14ac:dyDescent="0.35"/>
  <cols>
    <col min="3" max="3" width="38.1796875" customWidth="1"/>
    <col min="4" max="4" width="31" customWidth="1"/>
    <col min="5" max="5" width="8.6328125" customWidth="1"/>
    <col min="15" max="15" width="3.7265625" customWidth="1"/>
    <col min="17" max="23" width="5.08984375" customWidth="1"/>
  </cols>
  <sheetData>
    <row r="1" spans="1:15" ht="15" thickBot="1" x14ac:dyDescent="0.4">
      <c r="A1" s="47" t="s">
        <v>80</v>
      </c>
      <c r="B1" s="47" t="s">
        <v>82</v>
      </c>
      <c r="C1" s="4" t="s">
        <v>81</v>
      </c>
      <c r="D1" s="4" t="s">
        <v>83</v>
      </c>
      <c r="E1" s="2">
        <v>2020</v>
      </c>
      <c r="F1" s="1">
        <v>2025</v>
      </c>
      <c r="G1" s="1">
        <v>2030</v>
      </c>
      <c r="H1" s="1">
        <v>2035</v>
      </c>
      <c r="I1" s="1">
        <v>2040</v>
      </c>
      <c r="J1" s="1">
        <v>2045</v>
      </c>
      <c r="K1" s="3">
        <v>2050</v>
      </c>
      <c r="L1" s="4" t="s">
        <v>0</v>
      </c>
      <c r="N1" s="4" t="s">
        <v>76</v>
      </c>
      <c r="O1" s="4" t="s">
        <v>97</v>
      </c>
    </row>
    <row r="2" spans="1:15" ht="15" thickTop="1" x14ac:dyDescent="0.35">
      <c r="A2" t="s">
        <v>129</v>
      </c>
      <c r="B2" t="s">
        <v>252</v>
      </c>
      <c r="C2" s="20" t="s">
        <v>1</v>
      </c>
      <c r="D2" s="17" t="s">
        <v>2</v>
      </c>
      <c r="E2" s="6">
        <v>0.65</v>
      </c>
      <c r="F2" s="7">
        <f>1-(1-E2)*(1-$L2)</f>
        <v>0.82499999999999996</v>
      </c>
      <c r="G2" s="7">
        <f t="shared" ref="G2:K2" si="0">1-(1-F2)*(1-$L2)</f>
        <v>0.91249999999999998</v>
      </c>
      <c r="H2" s="7">
        <f t="shared" si="0"/>
        <v>0.95625000000000004</v>
      </c>
      <c r="I2" s="7">
        <f t="shared" si="0"/>
        <v>0.97812500000000002</v>
      </c>
      <c r="J2" s="7">
        <f t="shared" si="0"/>
        <v>0.98906249999999996</v>
      </c>
      <c r="K2" s="8">
        <f t="shared" si="0"/>
        <v>0.99453124999999998</v>
      </c>
      <c r="L2" s="9">
        <v>0.5</v>
      </c>
      <c r="N2" t="s">
        <v>607</v>
      </c>
    </row>
    <row r="3" spans="1:15" x14ac:dyDescent="0.35">
      <c r="A3" t="s">
        <v>129</v>
      </c>
      <c r="B3" t="s">
        <v>252</v>
      </c>
      <c r="C3" t="s">
        <v>3</v>
      </c>
      <c r="D3" s="5" t="s">
        <v>4</v>
      </c>
      <c r="E3">
        <v>15</v>
      </c>
      <c r="F3" s="10">
        <f t="shared" ref="F3:K3" si="1">$E3+(F1-$E1)*$L3</f>
        <v>16.5</v>
      </c>
      <c r="G3" s="10">
        <f t="shared" si="1"/>
        <v>18</v>
      </c>
      <c r="H3" s="10">
        <f t="shared" si="1"/>
        <v>19.5</v>
      </c>
      <c r="I3" s="10">
        <f t="shared" si="1"/>
        <v>21</v>
      </c>
      <c r="J3" s="10">
        <f t="shared" si="1"/>
        <v>22.5</v>
      </c>
      <c r="K3" s="11">
        <f t="shared" si="1"/>
        <v>24</v>
      </c>
      <c r="L3">
        <v>0.3</v>
      </c>
      <c r="N3" t="s">
        <v>605</v>
      </c>
    </row>
    <row r="4" spans="1:15" x14ac:dyDescent="0.35">
      <c r="A4" t="s">
        <v>129</v>
      </c>
      <c r="B4" t="s">
        <v>252</v>
      </c>
      <c r="C4" t="s">
        <v>5</v>
      </c>
      <c r="D4" s="5" t="s">
        <v>6</v>
      </c>
      <c r="E4">
        <v>1500</v>
      </c>
      <c r="F4" s="10">
        <f t="shared" ref="F4:K10" si="2">E4*POWER(1+$L4,5)</f>
        <v>2007.3383664000007</v>
      </c>
      <c r="G4" s="10">
        <f t="shared" si="2"/>
        <v>2686.2715448142826</v>
      </c>
      <c r="H4" s="10">
        <f t="shared" si="2"/>
        <v>3594.8372896495389</v>
      </c>
      <c r="I4" s="10">
        <f t="shared" si="2"/>
        <v>4810.7032083192744</v>
      </c>
      <c r="J4" s="10">
        <f t="shared" si="2"/>
        <v>6437.8060796152367</v>
      </c>
      <c r="K4" s="11">
        <f t="shared" si="2"/>
        <v>8615.2367593698946</v>
      </c>
      <c r="L4" s="9">
        <v>0.06</v>
      </c>
      <c r="M4" t="s">
        <v>651</v>
      </c>
      <c r="N4" t="s">
        <v>605</v>
      </c>
      <c r="O4" t="s">
        <v>606</v>
      </c>
    </row>
    <row r="5" spans="1:15" x14ac:dyDescent="0.35">
      <c r="A5" t="s">
        <v>129</v>
      </c>
      <c r="B5" t="s">
        <v>252</v>
      </c>
      <c r="C5" t="s">
        <v>258</v>
      </c>
      <c r="D5" s="5" t="s">
        <v>8</v>
      </c>
      <c r="E5">
        <v>1</v>
      </c>
      <c r="F5" s="12">
        <f t="shared" si="2"/>
        <v>1.2166529024000003</v>
      </c>
      <c r="G5" s="12">
        <f t="shared" si="2"/>
        <v>1.4802442849183448</v>
      </c>
      <c r="H5" s="12">
        <f t="shared" si="2"/>
        <v>1.8009435055069172</v>
      </c>
      <c r="I5" s="12">
        <f t="shared" si="2"/>
        <v>2.1911231430334217</v>
      </c>
      <c r="J5" s="12">
        <f t="shared" si="2"/>
        <v>2.6658363314874238</v>
      </c>
      <c r="K5" s="13">
        <f t="shared" si="2"/>
        <v>3.2433975100275436</v>
      </c>
      <c r="L5" s="9">
        <v>0.04</v>
      </c>
      <c r="N5" t="s">
        <v>605</v>
      </c>
    </row>
    <row r="6" spans="1:15" x14ac:dyDescent="0.35">
      <c r="A6" t="s">
        <v>129</v>
      </c>
      <c r="B6" t="s">
        <v>252</v>
      </c>
      <c r="C6" t="s">
        <v>259</v>
      </c>
      <c r="D6" s="5" t="s">
        <v>8</v>
      </c>
      <c r="E6">
        <v>1.5</v>
      </c>
      <c r="F6" s="12">
        <f t="shared" si="2"/>
        <v>1.8249793536000005</v>
      </c>
      <c r="G6" s="12">
        <f t="shared" si="2"/>
        <v>2.2203664273775172</v>
      </c>
      <c r="H6" s="12">
        <f t="shared" si="2"/>
        <v>2.7014152582603761</v>
      </c>
      <c r="I6" s="12">
        <f t="shared" si="2"/>
        <v>3.286684714550133</v>
      </c>
      <c r="J6" s="12">
        <f t="shared" si="2"/>
        <v>3.9987544972311362</v>
      </c>
      <c r="K6" s="13">
        <f t="shared" si="2"/>
        <v>4.8650962650413163</v>
      </c>
      <c r="L6" s="9">
        <v>0.04</v>
      </c>
      <c r="N6" t="s">
        <v>605</v>
      </c>
    </row>
    <row r="7" spans="1:15" x14ac:dyDescent="0.35">
      <c r="A7" t="s">
        <v>129</v>
      </c>
      <c r="B7" t="s">
        <v>252</v>
      </c>
      <c r="C7" t="s">
        <v>260</v>
      </c>
      <c r="D7" s="5" t="s">
        <v>8</v>
      </c>
      <c r="E7" s="64" cm="1">
        <f t="array" ref="E7:K7">1.5*E5:K5</f>
        <v>1.5</v>
      </c>
      <c r="F7" s="12">
        <v>1.8249793536000005</v>
      </c>
      <c r="G7" s="12">
        <v>2.2203664273775172</v>
      </c>
      <c r="H7" s="12">
        <v>2.7014152582603757</v>
      </c>
      <c r="I7" s="12">
        <v>3.2866847145501326</v>
      </c>
      <c r="J7" s="12">
        <v>3.9987544972311357</v>
      </c>
      <c r="K7" s="13">
        <v>4.8650962650413154</v>
      </c>
      <c r="L7" s="9"/>
      <c r="N7" t="s">
        <v>338</v>
      </c>
    </row>
    <row r="8" spans="1:15" x14ac:dyDescent="0.35">
      <c r="A8" t="s">
        <v>129</v>
      </c>
      <c r="B8" t="s">
        <v>252</v>
      </c>
      <c r="C8" t="s">
        <v>261</v>
      </c>
      <c r="D8" s="5" t="s">
        <v>8</v>
      </c>
      <c r="E8" s="64" cm="1">
        <f t="array" ref="E8:K8">1.5*E6:K6</f>
        <v>2.25</v>
      </c>
      <c r="F8" s="12">
        <v>2.7374690304000007</v>
      </c>
      <c r="G8" s="12">
        <v>3.330549641066276</v>
      </c>
      <c r="H8" s="12">
        <v>4.0521228873905644</v>
      </c>
      <c r="I8" s="12">
        <v>4.9300270718251991</v>
      </c>
      <c r="J8" s="12">
        <v>5.9981317458467043</v>
      </c>
      <c r="K8" s="13">
        <v>7.2976443975619745</v>
      </c>
      <c r="L8" s="9"/>
      <c r="N8" t="s">
        <v>338</v>
      </c>
    </row>
    <row r="9" spans="1:15" x14ac:dyDescent="0.35">
      <c r="A9" t="s">
        <v>129</v>
      </c>
      <c r="B9" t="s">
        <v>252</v>
      </c>
      <c r="C9" t="s">
        <v>44</v>
      </c>
      <c r="D9" s="5" t="s">
        <v>9</v>
      </c>
      <c r="E9" s="14">
        <v>0.2</v>
      </c>
      <c r="F9" s="15">
        <f t="shared" si="2"/>
        <v>0.23185481485999998</v>
      </c>
      <c r="G9" s="15">
        <f t="shared" si="2"/>
        <v>0.26878327586882433</v>
      </c>
      <c r="H9" s="15">
        <f t="shared" si="2"/>
        <v>0.3115934833201528</v>
      </c>
      <c r="I9" s="15">
        <f t="shared" si="2"/>
        <v>0.36122224693388255</v>
      </c>
      <c r="J9" s="15">
        <f t="shared" si="2"/>
        <v>0.41875558593084267</v>
      </c>
      <c r="K9" s="16">
        <f t="shared" si="2"/>
        <v>0.48545249423793169</v>
      </c>
      <c r="L9" s="9">
        <v>0.03</v>
      </c>
      <c r="N9" t="s">
        <v>605</v>
      </c>
    </row>
    <row r="10" spans="1:15" x14ac:dyDescent="0.35">
      <c r="A10" t="s">
        <v>129</v>
      </c>
      <c r="B10" t="s">
        <v>252</v>
      </c>
      <c r="C10" t="s">
        <v>45</v>
      </c>
      <c r="D10" s="5" t="s">
        <v>10</v>
      </c>
      <c r="E10" s="14">
        <v>0.5</v>
      </c>
      <c r="F10" s="15">
        <f t="shared" si="2"/>
        <v>0.57963703714999992</v>
      </c>
      <c r="G10" s="15">
        <f t="shared" si="2"/>
        <v>0.67195818967206078</v>
      </c>
      <c r="H10" s="15">
        <f t="shared" si="2"/>
        <v>0.77898370830038199</v>
      </c>
      <c r="I10" s="15">
        <f t="shared" si="2"/>
        <v>0.90305561733470641</v>
      </c>
      <c r="J10" s="15">
        <f t="shared" si="2"/>
        <v>1.0468889648271067</v>
      </c>
      <c r="K10" s="16">
        <f t="shared" si="2"/>
        <v>1.2136312355948291</v>
      </c>
      <c r="L10" s="9">
        <v>0.03</v>
      </c>
      <c r="N10" t="s">
        <v>605</v>
      </c>
    </row>
    <row r="11" spans="1:15" x14ac:dyDescent="0.35">
      <c r="A11" t="s">
        <v>129</v>
      </c>
      <c r="B11" t="s">
        <v>252</v>
      </c>
      <c r="C11" t="s">
        <v>11</v>
      </c>
      <c r="D11" s="5" t="s">
        <v>56</v>
      </c>
      <c r="E11" s="18">
        <v>270</v>
      </c>
      <c r="F11" s="57" cm="1">
        <f t="array" ref="F11:K11">(E11-M11)*POWER(1+$L11,F1:K1-E1)+M11</f>
        <v>206.13696537599998</v>
      </c>
      <c r="G11" s="57">
        <v>159.26762738277591</v>
      </c>
      <c r="H11" s="57">
        <v>124.8700317023236</v>
      </c>
      <c r="I11" s="57">
        <v>99.625497871550806</v>
      </c>
      <c r="J11" s="57">
        <v>81.098432949533773</v>
      </c>
      <c r="K11" s="245">
        <v>67.501345479999543</v>
      </c>
      <c r="L11" s="246">
        <v>-0.06</v>
      </c>
      <c r="M11">
        <v>30</v>
      </c>
      <c r="N11" t="s">
        <v>677</v>
      </c>
    </row>
    <row r="12" spans="1:15" x14ac:dyDescent="0.35">
      <c r="A12" t="s">
        <v>129</v>
      </c>
      <c r="B12" t="s">
        <v>252</v>
      </c>
      <c r="C12" t="s">
        <v>130</v>
      </c>
      <c r="D12" s="5" t="s">
        <v>114</v>
      </c>
      <c r="E12" s="116">
        <v>150</v>
      </c>
      <c r="F12" s="10">
        <f t="shared" ref="F12:K12" si="3">E12*POWER(1+$L12,5)</f>
        <v>98.862228480000013</v>
      </c>
      <c r="G12" s="10">
        <f t="shared" si="3"/>
        <v>65.158268133544837</v>
      </c>
      <c r="H12" s="10">
        <f t="shared" si="3"/>
        <v>42.944610610530759</v>
      </c>
      <c r="I12" s="10">
        <f t="shared" si="3"/>
        <v>28.303999374419501</v>
      </c>
      <c r="J12" s="10">
        <f t="shared" si="3"/>
        <v>18.654643020344256</v>
      </c>
      <c r="K12" s="11">
        <f t="shared" si="3"/>
        <v>12.294930536600743</v>
      </c>
      <c r="L12" s="19">
        <v>-0.08</v>
      </c>
      <c r="M12" s="42"/>
      <c r="N12" t="s">
        <v>131</v>
      </c>
    </row>
    <row r="13" spans="1:15" ht="15" thickBot="1" x14ac:dyDescent="0.4">
      <c r="A13" s="89" t="s">
        <v>129</v>
      </c>
      <c r="B13" s="89" t="s">
        <v>252</v>
      </c>
      <c r="C13" s="89" t="s">
        <v>7</v>
      </c>
      <c r="D13" s="90" t="s">
        <v>255</v>
      </c>
      <c r="E13" s="118">
        <v>0.8</v>
      </c>
      <c r="F13" s="119">
        <f t="shared" ref="F13:K13" si="4">E13*POWER(1+$L13,5)</f>
        <v>0.8</v>
      </c>
      <c r="G13" s="119">
        <f t="shared" si="4"/>
        <v>0.8</v>
      </c>
      <c r="H13" s="119">
        <f t="shared" si="4"/>
        <v>0.8</v>
      </c>
      <c r="I13" s="119">
        <f t="shared" si="4"/>
        <v>0.8</v>
      </c>
      <c r="J13" s="119">
        <f t="shared" si="4"/>
        <v>0.8</v>
      </c>
      <c r="K13" s="120">
        <f t="shared" si="4"/>
        <v>0.8</v>
      </c>
      <c r="L13" s="9">
        <v>0</v>
      </c>
      <c r="N13" t="s">
        <v>605</v>
      </c>
    </row>
    <row r="14" spans="1:15" x14ac:dyDescent="0.35">
      <c r="A14" t="s">
        <v>129</v>
      </c>
      <c r="B14" t="s">
        <v>253</v>
      </c>
      <c r="C14" t="s">
        <v>7</v>
      </c>
      <c r="D14" s="5" t="s">
        <v>256</v>
      </c>
      <c r="E14" s="36" cm="1">
        <f t="array" ref="E14:K14">E13:K13</f>
        <v>0.8</v>
      </c>
      <c r="F14" s="7">
        <v>0.8</v>
      </c>
      <c r="G14" s="7">
        <v>0.8</v>
      </c>
      <c r="H14" s="7">
        <v>0.8</v>
      </c>
      <c r="I14" s="7">
        <v>0.8</v>
      </c>
      <c r="J14" s="7">
        <v>0.8</v>
      </c>
      <c r="K14" s="8">
        <v>0.8</v>
      </c>
      <c r="L14" s="9"/>
      <c r="O14" t="s">
        <v>254</v>
      </c>
    </row>
    <row r="15" spans="1:15" x14ac:dyDescent="0.35">
      <c r="A15" t="s">
        <v>129</v>
      </c>
      <c r="B15" t="s">
        <v>253</v>
      </c>
      <c r="C15" t="s">
        <v>3</v>
      </c>
      <c r="D15" s="5" t="s">
        <v>4</v>
      </c>
      <c r="E15" s="117" cm="1">
        <f t="array" ref="E15:K15">0.9*E3:K3/E2:K2</f>
        <v>20.76923076923077</v>
      </c>
      <c r="F15" s="40">
        <v>18</v>
      </c>
      <c r="G15" s="40">
        <v>17.753424657534246</v>
      </c>
      <c r="H15" s="40">
        <v>18.352941176470587</v>
      </c>
      <c r="I15" s="40">
        <v>19.32268370607029</v>
      </c>
      <c r="J15" s="40">
        <v>20.473933649289101</v>
      </c>
      <c r="K15" s="41">
        <v>21.718774548311078</v>
      </c>
      <c r="L15" s="9"/>
      <c r="N15" t="s">
        <v>527</v>
      </c>
      <c r="O15" t="s">
        <v>526</v>
      </c>
    </row>
    <row r="16" spans="1:15" x14ac:dyDescent="0.35">
      <c r="A16" t="s">
        <v>129</v>
      </c>
      <c r="B16" t="s">
        <v>253</v>
      </c>
      <c r="C16" t="s">
        <v>5</v>
      </c>
      <c r="D16" s="5" t="s">
        <v>6</v>
      </c>
      <c r="E16" s="76" cm="1">
        <f t="array" ref="E16:K20">E4:K8/E2:K2</f>
        <v>2307.6923076923076</v>
      </c>
      <c r="F16" s="10">
        <v>2433.1374138181827</v>
      </c>
      <c r="G16" s="10">
        <v>2943.8592271937346</v>
      </c>
      <c r="H16" s="10">
        <v>3759.3069695681452</v>
      </c>
      <c r="I16" s="10">
        <v>4918.290820006926</v>
      </c>
      <c r="J16" s="10">
        <v>6508.9982479522141</v>
      </c>
      <c r="K16" s="11">
        <v>8662.6104100498542</v>
      </c>
      <c r="L16" s="19"/>
    </row>
    <row r="17" spans="1:32" x14ac:dyDescent="0.35">
      <c r="A17" t="s">
        <v>129</v>
      </c>
      <c r="B17" t="s">
        <v>253</v>
      </c>
      <c r="C17" t="s">
        <v>258</v>
      </c>
      <c r="D17" s="5" t="s">
        <v>8</v>
      </c>
      <c r="E17" s="75">
        <v>1.5384615384615383</v>
      </c>
      <c r="F17" s="12">
        <v>1.4747307907878793</v>
      </c>
      <c r="G17" s="12">
        <v>1.6221855177187341</v>
      </c>
      <c r="H17" s="12">
        <v>1.8833396136020049</v>
      </c>
      <c r="I17" s="12">
        <v>2.2401258970309743</v>
      </c>
      <c r="J17" s="12">
        <v>2.6953163541105076</v>
      </c>
      <c r="K17" s="13">
        <v>3.2612323745760063</v>
      </c>
      <c r="L17" s="19"/>
    </row>
    <row r="18" spans="1:32" x14ac:dyDescent="0.35">
      <c r="A18" t="s">
        <v>129</v>
      </c>
      <c r="B18" t="s">
        <v>253</v>
      </c>
      <c r="C18" t="s">
        <v>259</v>
      </c>
      <c r="D18" s="5" t="s">
        <v>8</v>
      </c>
      <c r="E18" s="75">
        <v>2.3076923076923075</v>
      </c>
      <c r="F18" s="12">
        <v>2.2120961861818191</v>
      </c>
      <c r="G18" s="12">
        <v>2.4332782765781009</v>
      </c>
      <c r="H18" s="12">
        <v>2.8250094204030076</v>
      </c>
      <c r="I18" s="12">
        <v>3.3601888455464617</v>
      </c>
      <c r="J18" s="12">
        <v>4.0429745311657621</v>
      </c>
      <c r="K18" s="13">
        <v>4.89184856186401</v>
      </c>
      <c r="L18" s="19"/>
    </row>
    <row r="19" spans="1:32" x14ac:dyDescent="0.35">
      <c r="A19" t="s">
        <v>129</v>
      </c>
      <c r="B19" t="s">
        <v>253</v>
      </c>
      <c r="C19" t="s">
        <v>260</v>
      </c>
      <c r="D19" s="5" t="s">
        <v>8</v>
      </c>
      <c r="E19" s="75">
        <v>2.3076923076923075</v>
      </c>
      <c r="F19" s="12">
        <v>2.2120961861818191</v>
      </c>
      <c r="G19" s="12">
        <v>2.4332782765781009</v>
      </c>
      <c r="H19" s="12">
        <v>2.8250094204030072</v>
      </c>
      <c r="I19" s="12">
        <v>3.3601888455464612</v>
      </c>
      <c r="J19" s="12">
        <v>4.0429745311657612</v>
      </c>
      <c r="K19" s="13">
        <v>4.8918485618640091</v>
      </c>
      <c r="L19" s="19"/>
    </row>
    <row r="20" spans="1:32" x14ac:dyDescent="0.35">
      <c r="A20" t="s">
        <v>129</v>
      </c>
      <c r="B20" t="s">
        <v>253</v>
      </c>
      <c r="C20" t="s">
        <v>261</v>
      </c>
      <c r="D20" s="5" t="s">
        <v>8</v>
      </c>
      <c r="E20" s="75">
        <v>3.4615384615384612</v>
      </c>
      <c r="F20" s="12">
        <v>3.3181442792727283</v>
      </c>
      <c r="G20" s="12">
        <v>3.649917414867152</v>
      </c>
      <c r="H20" s="12">
        <v>4.2375141306045112</v>
      </c>
      <c r="I20" s="12">
        <v>5.0402832683196923</v>
      </c>
      <c r="J20" s="12">
        <v>6.0644617967486427</v>
      </c>
      <c r="K20" s="13">
        <v>7.3377728427960154</v>
      </c>
      <c r="L20" s="19"/>
    </row>
    <row r="21" spans="1:32" x14ac:dyDescent="0.35">
      <c r="A21" t="s">
        <v>129</v>
      </c>
      <c r="B21" t="s">
        <v>253</v>
      </c>
      <c r="C21" t="s">
        <v>44</v>
      </c>
      <c r="D21" s="5" t="s">
        <v>9</v>
      </c>
      <c r="E21" s="74" cm="1">
        <f t="array" ref="E21:K22">E9:K10*E2:K2</f>
        <v>0.13</v>
      </c>
      <c r="F21" s="15">
        <v>0.19128022225949998</v>
      </c>
      <c r="G21" s="15">
        <v>0.2452647392303022</v>
      </c>
      <c r="H21" s="15">
        <v>0.29796126842489612</v>
      </c>
      <c r="I21" s="15">
        <v>0.3533205102822039</v>
      </c>
      <c r="J21" s="15">
        <v>0.41417544670972406</v>
      </c>
      <c r="K21" s="16">
        <v>0.482797675910068</v>
      </c>
      <c r="L21" s="19"/>
    </row>
    <row r="22" spans="1:32" x14ac:dyDescent="0.35">
      <c r="A22" t="s">
        <v>129</v>
      </c>
      <c r="B22" t="s">
        <v>253</v>
      </c>
      <c r="C22" t="s">
        <v>45</v>
      </c>
      <c r="D22" s="5" t="s">
        <v>10</v>
      </c>
      <c r="E22" s="74">
        <v>0.32500000000000001</v>
      </c>
      <c r="F22" s="15">
        <v>0.47820055564874991</v>
      </c>
      <c r="G22" s="15">
        <v>0.61316184807575547</v>
      </c>
      <c r="H22" s="15">
        <v>0.74490317106224035</v>
      </c>
      <c r="I22" s="15">
        <v>0.88330127570550976</v>
      </c>
      <c r="J22" s="15">
        <v>1.0354386167743101</v>
      </c>
      <c r="K22" s="16">
        <v>1.2069941897751699</v>
      </c>
      <c r="L22" s="19"/>
      <c r="R22" s="6"/>
      <c r="S22" s="6"/>
      <c r="T22" s="6"/>
      <c r="U22" s="6"/>
      <c r="V22" s="6"/>
      <c r="W22" s="6"/>
      <c r="X22" s="6"/>
    </row>
    <row r="23" spans="1:32" x14ac:dyDescent="0.35">
      <c r="A23" t="s">
        <v>129</v>
      </c>
      <c r="B23" t="s">
        <v>253</v>
      </c>
      <c r="C23" t="s">
        <v>11</v>
      </c>
      <c r="D23" s="5" t="s">
        <v>56</v>
      </c>
      <c r="E23" s="76" cm="1">
        <f t="array" ref="E23:K23">E11:K11/E2:K2</f>
        <v>415.38461538461536</v>
      </c>
      <c r="F23" s="10">
        <v>249.86298833454543</v>
      </c>
      <c r="G23" s="10">
        <v>174.5398656249599</v>
      </c>
      <c r="H23" s="10">
        <v>130.58303968870442</v>
      </c>
      <c r="I23" s="10">
        <v>101.85354414982829</v>
      </c>
      <c r="J23" s="10">
        <v>81.995256062719776</v>
      </c>
      <c r="K23" s="11">
        <v>67.872523342026255</v>
      </c>
      <c r="L23" s="19"/>
      <c r="N23" t="s">
        <v>670</v>
      </c>
    </row>
    <row r="24" spans="1:32" ht="15" thickBot="1" x14ac:dyDescent="0.4">
      <c r="A24" s="89" t="s">
        <v>129</v>
      </c>
      <c r="B24" s="89" t="s">
        <v>253</v>
      </c>
      <c r="C24" s="89" t="s">
        <v>130</v>
      </c>
      <c r="D24" s="90" t="s">
        <v>114</v>
      </c>
      <c r="E24" s="76" cm="1">
        <f t="array" ref="E24:K24">E12:K12/E2:K2</f>
        <v>230.76923076923077</v>
      </c>
      <c r="F24" s="10">
        <v>119.83300421818184</v>
      </c>
      <c r="G24" s="10">
        <v>71.406321242240921</v>
      </c>
      <c r="H24" s="10">
        <v>44.909396716894911</v>
      </c>
      <c r="I24" s="10">
        <v>28.936996165540702</v>
      </c>
      <c r="J24" s="10">
        <v>18.860934491343325</v>
      </c>
      <c r="K24" s="11">
        <v>12.362538167202633</v>
      </c>
      <c r="L24" s="19"/>
    </row>
    <row r="25" spans="1:32" x14ac:dyDescent="0.35">
      <c r="D25" s="5"/>
      <c r="K25" s="5"/>
    </row>
    <row r="26" spans="1:32" x14ac:dyDescent="0.35">
      <c r="A26" s="170" t="s">
        <v>129</v>
      </c>
      <c r="B26" s="170" t="s">
        <v>252</v>
      </c>
      <c r="C26" s="170" t="s">
        <v>12</v>
      </c>
      <c r="D26" s="171" t="s">
        <v>2</v>
      </c>
      <c r="E26" s="174" cm="1">
        <f t="array" ref="E26:K26">0.3/(1+EXP(-(E$1:K$1-2035)*0.3))</f>
        <v>3.296082789177954E-3</v>
      </c>
      <c r="F26" s="175">
        <v>1.4227761953270034E-2</v>
      </c>
      <c r="G26" s="175">
        <v>5.4727657141906902E-2</v>
      </c>
      <c r="H26" s="175">
        <v>0.15</v>
      </c>
      <c r="I26" s="175">
        <v>0.24527234285809307</v>
      </c>
      <c r="J26" s="175">
        <v>0.28577223804672996</v>
      </c>
      <c r="K26" s="173">
        <v>0.29670391721082207</v>
      </c>
      <c r="L26" s="19"/>
      <c r="O26" t="s">
        <v>515</v>
      </c>
    </row>
    <row r="27" spans="1:32" x14ac:dyDescent="0.35">
      <c r="A27" t="s">
        <v>129</v>
      </c>
      <c r="B27" t="s">
        <v>253</v>
      </c>
      <c r="C27" s="170" t="s">
        <v>12</v>
      </c>
      <c r="D27" s="171" t="s">
        <v>2</v>
      </c>
      <c r="E27" s="207" cm="1">
        <f t="array" ref="E27:K27">_xlfn.ANCHORARRAY(E26)/E2:K2</f>
        <v>5.070896598735314E-3</v>
      </c>
      <c r="F27" s="172">
        <v>1.7245772064569738E-2</v>
      </c>
      <c r="G27" s="172">
        <v>5.9975514676062359E-2</v>
      </c>
      <c r="H27" s="172">
        <v>0.15686274509803921</v>
      </c>
      <c r="I27" s="172">
        <v>0.25075766681977568</v>
      </c>
      <c r="J27" s="172">
        <v>0.28893243657173329</v>
      </c>
      <c r="K27" s="173">
        <v>0.29833543914363886</v>
      </c>
      <c r="L27" s="19"/>
      <c r="O27" t="s">
        <v>515</v>
      </c>
    </row>
    <row r="28" spans="1:32" x14ac:dyDescent="0.35">
      <c r="C28" t="s">
        <v>374</v>
      </c>
      <c r="D28" s="5" t="s">
        <v>23</v>
      </c>
      <c r="E28">
        <v>700</v>
      </c>
      <c r="F28" s="40">
        <f t="shared" ref="F28:K28" si="5">E28*POWER(1+$L28,5)</f>
        <v>700</v>
      </c>
      <c r="G28" s="40">
        <f t="shared" si="5"/>
        <v>700</v>
      </c>
      <c r="H28" s="40">
        <f t="shared" si="5"/>
        <v>700</v>
      </c>
      <c r="I28" s="40">
        <f t="shared" si="5"/>
        <v>700</v>
      </c>
      <c r="J28" s="40">
        <f t="shared" si="5"/>
        <v>700</v>
      </c>
      <c r="K28" s="41">
        <f t="shared" si="5"/>
        <v>700</v>
      </c>
      <c r="L28" s="9">
        <v>0</v>
      </c>
      <c r="AE28">
        <v>0</v>
      </c>
      <c r="AF28" s="14"/>
    </row>
    <row r="29" spans="1:32" x14ac:dyDescent="0.35">
      <c r="B29" t="s">
        <v>18</v>
      </c>
      <c r="C29" t="s">
        <v>257</v>
      </c>
      <c r="D29" s="5" t="s">
        <v>37</v>
      </c>
      <c r="E29" s="64" cm="1">
        <f t="array" ref="E29:K29">vehicles!E88:K88</f>
        <v>550</v>
      </c>
      <c r="F29" s="43">
        <v>550</v>
      </c>
      <c r="G29" s="43">
        <v>550</v>
      </c>
      <c r="H29" s="43">
        <v>550</v>
      </c>
      <c r="I29" s="43">
        <v>550</v>
      </c>
      <c r="J29" s="43">
        <v>550</v>
      </c>
      <c r="K29" s="44">
        <v>550</v>
      </c>
      <c r="L29" s="9"/>
      <c r="AE29" t="s">
        <v>412</v>
      </c>
      <c r="AF29" s="14">
        <f ca="1">OFFSET(E55,0,AE28)</f>
        <v>0.24031586196475163</v>
      </c>
    </row>
    <row r="30" spans="1:32" x14ac:dyDescent="0.35">
      <c r="C30" t="s">
        <v>75</v>
      </c>
      <c r="D30" s="5" t="s">
        <v>49</v>
      </c>
      <c r="E30" s="38" cm="1">
        <f t="array" ref="E30:K30">_xlfn.ANCHORARRAY(E29)/_xlfn.ANCHORARRAY(E8)</f>
        <v>244.44444444444446</v>
      </c>
      <c r="F30" s="121">
        <v>200.91551498561927</v>
      </c>
      <c r="G30" s="121">
        <v>165.13790793519516</v>
      </c>
      <c r="H30" s="121">
        <v>135.73132288546711</v>
      </c>
      <c r="I30" s="121">
        <v>111.56125351587137</v>
      </c>
      <c r="J30" s="121">
        <v>91.695218328746677</v>
      </c>
      <c r="K30" s="122">
        <v>75.366785504613816</v>
      </c>
      <c r="L30" s="9"/>
      <c r="AE30" t="s">
        <v>411</v>
      </c>
      <c r="AF30" s="14">
        <f ca="1">OFFSET(E56,0,AE28)</f>
        <v>4.2637170291560091E-2</v>
      </c>
    </row>
    <row r="31" spans="1:32" x14ac:dyDescent="0.35">
      <c r="B31" t="s">
        <v>18</v>
      </c>
      <c r="C31" t="s">
        <v>50</v>
      </c>
      <c r="D31" s="5" t="s">
        <v>51</v>
      </c>
      <c r="E31" s="15" cm="1">
        <f t="array" ref="E31:K31">vehicles!E106:K106</f>
        <v>1.1242075764705881</v>
      </c>
      <c r="F31" s="15">
        <v>1.0908836428917581</v>
      </c>
      <c r="G31" s="15">
        <v>1.0585475024682212</v>
      </c>
      <c r="H31" s="15">
        <v>1.0271698748836142</v>
      </c>
      <c r="I31" s="15">
        <v>0.99672234775320778</v>
      </c>
      <c r="J31" s="15">
        <v>0.96717735089654189</v>
      </c>
      <c r="K31" s="16">
        <v>0.93850813137267908</v>
      </c>
      <c r="AE31" t="s">
        <v>413</v>
      </c>
      <c r="AF31" s="14">
        <f ca="1">OFFSET(E54,0,AE28)</f>
        <v>8.4142613223529408E-2</v>
      </c>
    </row>
    <row r="32" spans="1:32" x14ac:dyDescent="0.35">
      <c r="C32" t="s">
        <v>384</v>
      </c>
      <c r="D32" s="5" t="s">
        <v>49</v>
      </c>
      <c r="E32" s="10" cm="1">
        <f t="array" ref="E32:K32">IF(E28:K28*_xlfn.ANCHORARRAY(E31)&gt;_xlfn.ANCHORARRAY(E30)*E2:K2,E28:K28*_xlfn.ANCHORARRAY(E31),_xlfn.ANCHORARRAY(E30)*E2:K2)</f>
        <v>786.94530352941172</v>
      </c>
      <c r="F32" s="10">
        <v>763.61855002423067</v>
      </c>
      <c r="G32" s="10">
        <v>740.9832517277548</v>
      </c>
      <c r="H32" s="10">
        <v>719.01891241852991</v>
      </c>
      <c r="I32" s="10">
        <v>697.70564342724549</v>
      </c>
      <c r="J32" s="10">
        <v>677.02414562757929</v>
      </c>
      <c r="K32" s="11">
        <v>656.95569196087536</v>
      </c>
      <c r="AE32" t="s">
        <v>410</v>
      </c>
      <c r="AF32" s="14">
        <f ca="1">OFFSET(E69,0,AE28)</f>
        <v>2.542707692307692E-2</v>
      </c>
    </row>
    <row r="33" spans="2:40" x14ac:dyDescent="0.35">
      <c r="B33" t="s">
        <v>18</v>
      </c>
      <c r="C33" t="str" cm="1">
        <f t="array" ref="C33:K33">vehicles!C84:K84</f>
        <v>Annual distance</v>
      </c>
      <c r="D33" s="5" t="str">
        <v>km</v>
      </c>
      <c r="E33" s="38">
        <v>115000</v>
      </c>
      <c r="F33" s="38">
        <v>115000</v>
      </c>
      <c r="G33" s="38">
        <v>115000</v>
      </c>
      <c r="H33" s="38">
        <v>115000</v>
      </c>
      <c r="I33" s="38">
        <v>115000</v>
      </c>
      <c r="J33" s="38">
        <v>115000</v>
      </c>
      <c r="K33" s="39">
        <v>115000</v>
      </c>
      <c r="AE33" t="s">
        <v>414</v>
      </c>
      <c r="AF33" s="126">
        <f ca="1">OFFSET(E75,0,AE28)</f>
        <v>9.0825113022095054E-3</v>
      </c>
    </row>
    <row r="34" spans="2:40" x14ac:dyDescent="0.35">
      <c r="C34" t="s">
        <v>48</v>
      </c>
      <c r="D34" s="5" t="s">
        <v>49</v>
      </c>
      <c r="E34" s="38" cm="1">
        <f t="array" ref="E34:K34">E33:K33*_xlfn.ANCHORARRAY(E31)</f>
        <v>129283.87129411763</v>
      </c>
      <c r="F34" s="38">
        <v>125451.61893255218</v>
      </c>
      <c r="G34" s="38">
        <v>121732.96278384543</v>
      </c>
      <c r="H34" s="38">
        <v>118124.53561161563</v>
      </c>
      <c r="I34" s="38">
        <v>114623.06999161889</v>
      </c>
      <c r="J34" s="38">
        <v>111225.39535310231</v>
      </c>
      <c r="K34" s="39">
        <v>107928.43510785809</v>
      </c>
      <c r="AE34">
        <v>0</v>
      </c>
    </row>
    <row r="35" spans="2:40" x14ac:dyDescent="0.35">
      <c r="C35" t="s">
        <v>418</v>
      </c>
      <c r="D35" s="5" t="s">
        <v>415</v>
      </c>
      <c r="E35" s="42">
        <v>0.4</v>
      </c>
      <c r="F35" s="7">
        <f t="shared" ref="F35:K35" si="6">E35*POWER(1+$L35,5)</f>
        <v>0.4</v>
      </c>
      <c r="G35" s="7">
        <f t="shared" si="6"/>
        <v>0.4</v>
      </c>
      <c r="H35" s="7">
        <f t="shared" si="6"/>
        <v>0.4</v>
      </c>
      <c r="I35" s="7">
        <f t="shared" si="6"/>
        <v>0.4</v>
      </c>
      <c r="J35" s="7">
        <f t="shared" si="6"/>
        <v>0.4</v>
      </c>
      <c r="K35" s="8">
        <f t="shared" si="6"/>
        <v>0.4</v>
      </c>
      <c r="L35" s="42">
        <v>0</v>
      </c>
    </row>
    <row r="36" spans="2:40" x14ac:dyDescent="0.35">
      <c r="C36" t="s">
        <v>399</v>
      </c>
      <c r="D36" s="5" t="s">
        <v>417</v>
      </c>
      <c r="E36" s="10" cm="1">
        <f t="array" ref="E36:K36">(1-E35:K35)*_xlfn.ANCHORARRAY(E34)/_xlfn.ANCHORARRAY(E32)</f>
        <v>98.571428571428569</v>
      </c>
      <c r="F36" s="10">
        <v>98.571428571428569</v>
      </c>
      <c r="G36" s="10">
        <v>98.571428571428569</v>
      </c>
      <c r="H36" s="10">
        <v>98.571428571428569</v>
      </c>
      <c r="I36" s="10">
        <v>98.571428571428555</v>
      </c>
      <c r="J36" s="10">
        <v>98.571428571428569</v>
      </c>
      <c r="K36" s="11">
        <v>98.571428571428569</v>
      </c>
      <c r="AD36" s="84"/>
    </row>
    <row r="37" spans="2:40" x14ac:dyDescent="0.35">
      <c r="B37" t="s">
        <v>18</v>
      </c>
      <c r="C37" t="s">
        <v>46</v>
      </c>
      <c r="D37" s="5" t="s">
        <v>47</v>
      </c>
      <c r="E37" s="12" cm="1">
        <f t="array" ref="E37:K37">_xlfn.ANCHORARRAY(E32)/(E2:K2*E9:K9*1000)</f>
        <v>6.0534254117647057</v>
      </c>
      <c r="F37" s="12">
        <v>3.9921458737551494</v>
      </c>
      <c r="G37" s="12">
        <v>3.0211568693206066</v>
      </c>
      <c r="H37" s="12">
        <v>2.4131287808628903</v>
      </c>
      <c r="I37" s="12">
        <v>1.9747102789758075</v>
      </c>
      <c r="J37" s="12">
        <v>1.6346312921395203</v>
      </c>
      <c r="K37" s="13">
        <v>1.3607267075644502</v>
      </c>
      <c r="AD37" s="84"/>
    </row>
    <row r="38" spans="2:40" x14ac:dyDescent="0.35">
      <c r="C38" t="str" cm="1">
        <f t="array" ref="C38:K38">vehicles!C90:K90</f>
        <v>Cargo capacity value</v>
      </c>
      <c r="D38" s="5" t="str">
        <v>euro per ton-km</v>
      </c>
      <c r="E38" s="15">
        <v>2.5000000000000001E-2</v>
      </c>
      <c r="F38" s="15">
        <v>2.5000000000000001E-2</v>
      </c>
      <c r="G38" s="15">
        <v>2.5000000000000001E-2</v>
      </c>
      <c r="H38" s="15">
        <v>2.5000000000000001E-2</v>
      </c>
      <c r="I38" s="15">
        <v>2.5000000000000001E-2</v>
      </c>
      <c r="J38" s="15">
        <v>2.5000000000000001E-2</v>
      </c>
      <c r="K38" s="16">
        <v>2.5000000000000001E-2</v>
      </c>
      <c r="AD38" s="84"/>
    </row>
    <row r="39" spans="2:40" x14ac:dyDescent="0.35">
      <c r="C39" t="s">
        <v>52</v>
      </c>
      <c r="D39" s="5" t="s">
        <v>226</v>
      </c>
      <c r="E39" s="15" cm="1">
        <f t="array" ref="E39:K39">E38:K38*_xlfn.ANCHORARRAY(E37)/_xlfn.ANCHORARRAY(E31)</f>
        <v>0.13461538461538464</v>
      </c>
      <c r="F39" s="15">
        <v>9.1488810464987108E-2</v>
      </c>
      <c r="G39" s="15">
        <v>7.1351471291466809E-2</v>
      </c>
      <c r="H39" s="15">
        <v>5.8732465774863074E-2</v>
      </c>
      <c r="I39" s="15">
        <v>4.9530099416029982E-2</v>
      </c>
      <c r="J39" s="15">
        <v>4.225262540071556E-2</v>
      </c>
      <c r="K39" s="16">
        <v>3.6247067608626539E-2</v>
      </c>
      <c r="AD39" s="84"/>
    </row>
    <row r="40" spans="2:40" x14ac:dyDescent="0.35">
      <c r="B40" t="s">
        <v>18</v>
      </c>
      <c r="C40" t="s">
        <v>53</v>
      </c>
      <c r="D40" s="5" t="s">
        <v>54</v>
      </c>
      <c r="E40" s="12" cm="1">
        <f t="array" ref="E40:K40">_xlfn.ANCHORARRAY(E32)/(E2:K2*E10:K10*1000)</f>
        <v>2.4213701647058823</v>
      </c>
      <c r="F40" s="12">
        <v>1.5968583495020598</v>
      </c>
      <c r="G40" s="12">
        <v>1.2084627477282428</v>
      </c>
      <c r="H40" s="12">
        <v>0.96525151234515594</v>
      </c>
      <c r="I40" s="12">
        <v>0.78988411159032301</v>
      </c>
      <c r="J40" s="12">
        <v>0.65385251685580825</v>
      </c>
      <c r="K40" s="13">
        <v>0.54429068302578021</v>
      </c>
      <c r="AD40" s="84"/>
    </row>
    <row r="41" spans="2:40" x14ac:dyDescent="0.35">
      <c r="C41" t="str" cm="1">
        <f t="array" ref="C41:K41">vehicles!C91:K91</f>
        <v>Cargo capacity value</v>
      </c>
      <c r="D41" s="5" t="str">
        <v>euro per m3-km</v>
      </c>
      <c r="E41" s="55">
        <v>7.000000000000001E-3</v>
      </c>
      <c r="F41" s="55">
        <v>7.000000000000001E-3</v>
      </c>
      <c r="G41" s="55">
        <v>7.000000000000001E-3</v>
      </c>
      <c r="H41" s="55">
        <v>7.000000000000001E-3</v>
      </c>
      <c r="I41" s="55">
        <v>7.000000000000001E-3</v>
      </c>
      <c r="J41" s="55">
        <v>7.000000000000001E-3</v>
      </c>
      <c r="K41" s="56">
        <v>7.000000000000001E-3</v>
      </c>
      <c r="AD41" s="84"/>
    </row>
    <row r="42" spans="2:40" x14ac:dyDescent="0.35">
      <c r="C42" t="s">
        <v>55</v>
      </c>
      <c r="D42" s="5" t="s">
        <v>15</v>
      </c>
      <c r="E42" s="55" cm="1">
        <f t="array" ref="E42:K42">E41:K41*_xlfn.ANCHORARRAY(E40)/_xlfn.ANCHORARRAY(E31)</f>
        <v>1.507692307692308E-2</v>
      </c>
      <c r="F42" s="55">
        <v>1.0246746772078558E-2</v>
      </c>
      <c r="G42" s="55">
        <v>7.9913647846442844E-3</v>
      </c>
      <c r="H42" s="55">
        <v>6.578036166784664E-3</v>
      </c>
      <c r="I42" s="55">
        <v>5.5473711345953589E-3</v>
      </c>
      <c r="J42" s="55">
        <v>4.7322940448801436E-3</v>
      </c>
      <c r="K42" s="56">
        <v>4.0596715721661738E-3</v>
      </c>
      <c r="AD42" s="84"/>
      <c r="AE42" t="s">
        <v>409</v>
      </c>
    </row>
    <row r="43" spans="2:40" x14ac:dyDescent="0.35">
      <c r="C43" s="4" t="s">
        <v>413</v>
      </c>
      <c r="D43" s="5" t="s">
        <v>15</v>
      </c>
      <c r="E43" s="15" cm="1">
        <f t="array" ref="E43:K43">(_xlfn.ANCHORARRAY(E39)+_xlfn.ANCHORARRAY(E42))/2</f>
        <v>7.4846153846153854E-2</v>
      </c>
      <c r="F43" s="15">
        <v>5.0867778618532832E-2</v>
      </c>
      <c r="G43" s="15">
        <v>3.9671418038055545E-2</v>
      </c>
      <c r="H43" s="15">
        <v>3.2655250970823869E-2</v>
      </c>
      <c r="I43" s="15">
        <v>2.753873527531267E-2</v>
      </c>
      <c r="J43" s="15">
        <v>2.3492459722797853E-2</v>
      </c>
      <c r="K43" s="16">
        <v>2.0153369590396358E-2</v>
      </c>
      <c r="AD43" s="84">
        <f ca="1">OFFSET(AF29,AE34,0)*100</f>
        <v>24.031586196475164</v>
      </c>
      <c r="AE43" s="23" cm="1">
        <f t="array" ref="AE43:AN43">TRANSPOSE(_xlfn.ANCHORARRAY(X57))</f>
        <v>100</v>
      </c>
      <c r="AF43" s="23">
        <v>133.35214321633242</v>
      </c>
      <c r="AG43" s="23">
        <v>177.82794100389242</v>
      </c>
      <c r="AH43" s="23">
        <v>237.13737056616563</v>
      </c>
      <c r="AI43" s="23">
        <v>316.22776601683825</v>
      </c>
      <c r="AJ43" s="23">
        <v>421.69650342858256</v>
      </c>
      <c r="AK43" s="23">
        <v>562.34132519034927</v>
      </c>
      <c r="AL43" s="23">
        <v>749.89420933245651</v>
      </c>
      <c r="AM43" s="23">
        <v>1000</v>
      </c>
      <c r="AN43" s="23">
        <v>1333.5214321633246</v>
      </c>
    </row>
    <row r="44" spans="2:40" x14ac:dyDescent="0.35">
      <c r="D44" s="5"/>
      <c r="K44" s="5"/>
      <c r="AC44" t="str" cm="1">
        <f t="array" ref="AC44:AC48">AE29:AE33</f>
        <v>Battery ageing</v>
      </c>
      <c r="AD44" s="84" cm="1">
        <f t="array" ref="AD44:AD48">_xlfn.SEQUENCE(5,1,0,1)</f>
        <v>0</v>
      </c>
      <c r="AE44" s="84">
        <f t="dataTable" ref="AE44:AN48" dt2D="1" dtr="1" r1="E28" r2="AE34" ca="1"/>
        <v>14.75240957773287</v>
      </c>
      <c r="AF44" s="84">
        <v>14.75240957773287</v>
      </c>
      <c r="AG44" s="84">
        <v>15.418746061055696</v>
      </c>
      <c r="AH44" s="84">
        <v>16.483296262920948</v>
      </c>
      <c r="AI44" s="84">
        <v>17.865959342823846</v>
      </c>
      <c r="AJ44" s="84">
        <v>19.644308049362884</v>
      </c>
      <c r="AK44" s="84">
        <v>21.909762403031298</v>
      </c>
      <c r="AL44" s="84">
        <v>24.782290906658222</v>
      </c>
      <c r="AM44" s="84">
        <v>28.445091607783805</v>
      </c>
      <c r="AN44" s="84">
        <v>33.191342476208163</v>
      </c>
    </row>
    <row r="45" spans="2:40" x14ac:dyDescent="0.35">
      <c r="C45" t="s">
        <v>13</v>
      </c>
      <c r="D45" s="5" t="s">
        <v>4</v>
      </c>
      <c r="E45" s="12" cm="1">
        <f t="array" ref="E45:K45">1/(_xlfn.ANCHORARRAY(E36)/E16:K16+1/_xlfn.ANCHORARRAY(E15))</f>
        <v>11.005648401560588</v>
      </c>
      <c r="F45" s="12">
        <v>10.409334197025357</v>
      </c>
      <c r="G45" s="12">
        <v>11.134505395042432</v>
      </c>
      <c r="H45" s="12">
        <v>12.39037340555717</v>
      </c>
      <c r="I45" s="12">
        <v>13.928653042624763</v>
      </c>
      <c r="J45" s="12">
        <v>15.628305532430208</v>
      </c>
      <c r="K45" s="13">
        <v>17.414908215780908</v>
      </c>
      <c r="AC45" t="str">
        <v>Capital interest</v>
      </c>
      <c r="AD45" s="84">
        <v>1</v>
      </c>
      <c r="AE45" s="84">
        <v>0.86086956521739155</v>
      </c>
      <c r="AF45" s="84">
        <v>0.86086956521739155</v>
      </c>
      <c r="AG45" s="84">
        <v>1.0831543147400664</v>
      </c>
      <c r="AH45" s="84">
        <v>1.4444094930460565</v>
      </c>
      <c r="AI45" s="84">
        <v>1.9261510157970791</v>
      </c>
      <c r="AJ45" s="84">
        <v>2.5685636611485618</v>
      </c>
      <c r="AK45" s="84">
        <v>3.4252346920174994</v>
      </c>
      <c r="AL45" s="84">
        <v>4.5676238719946793</v>
      </c>
      <c r="AM45" s="84">
        <v>6.0910243273657265</v>
      </c>
      <c r="AN45" s="84">
        <v>8.1225114843703974</v>
      </c>
    </row>
    <row r="46" spans="2:40" x14ac:dyDescent="0.35">
      <c r="C46" t="s">
        <v>14</v>
      </c>
      <c r="D46" s="5" t="s">
        <v>2</v>
      </c>
      <c r="E46" s="36" cm="1">
        <f t="array" ref="E46:K46">0.3/(1+EXP(-(E$1:K$1-2035+_xlfn.ANCHORARRAY(E45))*0.3))</f>
        <v>6.9533039827846727E-2</v>
      </c>
      <c r="F46" s="36">
        <v>0.1591984630092714</v>
      </c>
      <c r="G46" s="36">
        <v>0.25889708622565866</v>
      </c>
      <c r="H46" s="36">
        <v>0.29288178465234715</v>
      </c>
      <c r="I46" s="36">
        <v>0.29897798717929991</v>
      </c>
      <c r="J46" s="36">
        <v>0.29986264234696408</v>
      </c>
      <c r="K46" s="8">
        <v>0.29998206049097303</v>
      </c>
      <c r="AC46" t="str">
        <v>Lost cargo capacity</v>
      </c>
      <c r="AD46">
        <v>2</v>
      </c>
      <c r="AE46" s="84">
        <v>1.6988888888888891</v>
      </c>
      <c r="AF46" s="84">
        <v>1.6988888888888891</v>
      </c>
      <c r="AG46" s="84">
        <v>2.1375582371753037</v>
      </c>
      <c r="AH46" s="84">
        <v>2.8504797217705207</v>
      </c>
      <c r="AI46" s="84">
        <v>3.8011758009279402</v>
      </c>
      <c r="AJ46" s="84">
        <v>5.0689493979579954</v>
      </c>
      <c r="AK46" s="84">
        <v>6.7595526607283629</v>
      </c>
      <c r="AL46" s="84">
        <v>9.0140083449178974</v>
      </c>
      <c r="AM46" s="84">
        <v>12.020373317647056</v>
      </c>
      <c r="AN46" s="84">
        <v>16.029425441686517</v>
      </c>
    </row>
    <row r="47" spans="2:40" x14ac:dyDescent="0.35">
      <c r="C47" t="s">
        <v>13</v>
      </c>
      <c r="D47" s="5" t="s">
        <v>417</v>
      </c>
      <c r="E47" s="10" cm="1">
        <f t="array" ref="E47:K47">_xlfn.ANCHORARRAY(E45)*_xlfn.ANCHORARRAY(E34)/_xlfn.ANCHORARRAY(E32)</f>
        <v>1808.0708088278109</v>
      </c>
      <c r="F47" s="10">
        <v>1710.1049037970229</v>
      </c>
      <c r="G47" s="10">
        <v>1829.2401720426851</v>
      </c>
      <c r="H47" s="10">
        <v>2035.5613451986781</v>
      </c>
      <c r="I47" s="10">
        <v>2288.2787141454965</v>
      </c>
      <c r="J47" s="10">
        <v>2567.5073374706767</v>
      </c>
      <c r="K47" s="11">
        <v>2861.0206354497209</v>
      </c>
      <c r="AC47" t="str">
        <v>Lost time</v>
      </c>
      <c r="AD47">
        <v>3</v>
      </c>
      <c r="AE47" s="84">
        <v>15.46269328621494</v>
      </c>
      <c r="AF47" s="84">
        <v>15.46269328621494</v>
      </c>
      <c r="AG47" s="84">
        <v>11.53198639398445</v>
      </c>
      <c r="AH47" s="84">
        <v>8.1972290648246577</v>
      </c>
      <c r="AI47" s="84">
        <v>5.9307297004809287</v>
      </c>
      <c r="AJ47" s="84">
        <v>4.3385071469555188</v>
      </c>
      <c r="AK47" s="84">
        <v>3.1968271071570284</v>
      </c>
      <c r="AL47" s="84">
        <v>2.3672263138557108</v>
      </c>
      <c r="AM47" s="84">
        <v>1.7589600000000003</v>
      </c>
      <c r="AN47" s="84">
        <v>1.3101951111003829</v>
      </c>
    </row>
    <row r="48" spans="2:40" x14ac:dyDescent="0.35">
      <c r="C48" s="4" t="s">
        <v>412</v>
      </c>
      <c r="D48" t="s">
        <v>416</v>
      </c>
      <c r="E48" s="37" cm="1">
        <f t="array" ref="E48:K48">(E11:K11/E2:K2)*(1-_xlfn.ANCHORARRAY(E46))/_xlfn.ANCHORARRAY(E47)</f>
        <v>0.21376467032824598</v>
      </c>
      <c r="F48" s="15">
        <v>0.12284929664976733</v>
      </c>
      <c r="G48" s="15">
        <v>7.0713515349924969E-2</v>
      </c>
      <c r="H48" s="15">
        <v>4.5362251644809018E-2</v>
      </c>
      <c r="I48" s="15">
        <v>3.1203181715343576E-2</v>
      </c>
      <c r="J48" s="15">
        <v>2.2359407150279408E-2</v>
      </c>
      <c r="K48" s="16">
        <v>1.6606655453813318E-2</v>
      </c>
      <c r="AC48" t="str">
        <v>CO₂ (SCC)</v>
      </c>
      <c r="AD48">
        <v>4</v>
      </c>
      <c r="AE48" s="84">
        <v>0.52414142800590091</v>
      </c>
      <c r="AF48" s="84">
        <v>0.52414142800590091</v>
      </c>
      <c r="AG48" s="84">
        <v>0.54923268756158972</v>
      </c>
      <c r="AH48" s="84">
        <v>0.5900107772154084</v>
      </c>
      <c r="AI48" s="84">
        <v>0.6443892337314534</v>
      </c>
      <c r="AJ48" s="84">
        <v>0.71690407094356035</v>
      </c>
      <c r="AK48" s="84">
        <v>0.81360416051573947</v>
      </c>
      <c r="AL48" s="84">
        <v>0.94255580245235404</v>
      </c>
      <c r="AM48" s="84">
        <v>1.1145155806874794</v>
      </c>
      <c r="AN48" s="84">
        <v>1.3438276304340726</v>
      </c>
    </row>
    <row r="49" spans="2:29" x14ac:dyDescent="0.35">
      <c r="B49" t="s">
        <v>96</v>
      </c>
      <c r="D49" s="5"/>
      <c r="K49" s="5"/>
    </row>
    <row r="50" spans="2:29" x14ac:dyDescent="0.35">
      <c r="C50" t="s">
        <v>57</v>
      </c>
      <c r="D50" s="5" t="s">
        <v>58</v>
      </c>
      <c r="E50" s="91" cm="1">
        <f t="array" ref="E50:K50">world!E3:K3</f>
        <v>0.03</v>
      </c>
      <c r="F50" s="7">
        <v>0.03</v>
      </c>
      <c r="G50" s="7">
        <v>0.03</v>
      </c>
      <c r="H50" s="7">
        <v>0.03</v>
      </c>
      <c r="I50" s="7">
        <v>0.03</v>
      </c>
      <c r="J50" s="7">
        <v>0.03</v>
      </c>
      <c r="K50" s="8">
        <v>0.03</v>
      </c>
    </row>
    <row r="51" spans="2:29" x14ac:dyDescent="0.35">
      <c r="C51" t="s">
        <v>59</v>
      </c>
      <c r="D51" s="5" t="s">
        <v>60</v>
      </c>
      <c r="E51" s="38" cm="1">
        <f t="array" ref="E51:K51">E11:K11*_xlfn.ANCHORARRAY(E32)/E2:K2</f>
        <v>326884.97223529406</v>
      </c>
      <c r="F51" s="38">
        <v>190800.01285674688</v>
      </c>
      <c r="G51" s="38">
        <v>129331.11718690817</v>
      </c>
      <c r="H51" s="38">
        <v>93891.675177277968</v>
      </c>
      <c r="I51" s="38">
        <v>71063.792556401313</v>
      </c>
      <c r="J51" s="38">
        <v>55512.768181377447</v>
      </c>
      <c r="K51" s="39">
        <v>44589.240537291516</v>
      </c>
      <c r="L51" s="9"/>
    </row>
    <row r="52" spans="2:29" x14ac:dyDescent="0.35">
      <c r="C52" s="4" t="s">
        <v>411</v>
      </c>
      <c r="D52" s="5" t="s">
        <v>15</v>
      </c>
      <c r="E52" s="15" cm="1">
        <f t="array" ref="E52:K52">E50:K50*_xlfn.ANCHORARRAY(E51)/(2*E34:K34)</f>
        <v>3.7926421404682269E-2</v>
      </c>
      <c r="F52" s="15">
        <v>2.2813577195762845E-2</v>
      </c>
      <c r="G52" s="15">
        <v>1.5936248600539819E-2</v>
      </c>
      <c r="H52" s="15">
        <v>1.1922799275925183E-2</v>
      </c>
      <c r="I52" s="15">
        <v>9.2996714223756282E-3</v>
      </c>
      <c r="J52" s="15">
        <v>7.4865233796396306E-3</v>
      </c>
      <c r="K52" s="16">
        <v>6.1970564790545706E-3</v>
      </c>
    </row>
    <row r="53" spans="2:29" x14ac:dyDescent="0.35">
      <c r="D53" s="5"/>
      <c r="K53" s="5"/>
    </row>
    <row r="54" spans="2:29" x14ac:dyDescent="0.35">
      <c r="C54" t="str">
        <f>C43</f>
        <v>Lost cargo capacity</v>
      </c>
      <c r="D54" s="5" t="s">
        <v>61</v>
      </c>
      <c r="E54" s="15" cm="1">
        <f t="array" ref="E54:K54">_xlfn.ANCHORARRAY(E$43)*_xlfn.ANCHORARRAY(E$31)</f>
        <v>8.4142613223529408E-2</v>
      </c>
      <c r="F54" s="15">
        <v>5.5490827645196576E-2</v>
      </c>
      <c r="G54" s="15">
        <v>4.1994080483556434E-2</v>
      </c>
      <c r="H54" s="15">
        <v>3.3542490053994178E-2</v>
      </c>
      <c r="I54" s="15">
        <v>2.7448472877763724E-2</v>
      </c>
      <c r="J54" s="15">
        <v>2.2721374960739338E-2</v>
      </c>
      <c r="K54" s="16">
        <v>1.891410123514586E-2</v>
      </c>
      <c r="P54" t="s">
        <v>380</v>
      </c>
      <c r="X54" t="s">
        <v>381</v>
      </c>
    </row>
    <row r="55" spans="2:29" x14ac:dyDescent="0.35">
      <c r="C55" t="str">
        <f>C48</f>
        <v>Battery ageing</v>
      </c>
      <c r="D55" s="5" t="s">
        <v>61</v>
      </c>
      <c r="E55" s="15" cm="1">
        <f t="array" ref="E55:K55">_xlfn.ANCHORARRAY(E48)*_xlfn.ANCHORARRAY(E$31)</f>
        <v>0.24031586196475163</v>
      </c>
      <c r="F55" s="15">
        <v>0.13401428825598843</v>
      </c>
      <c r="G55" s="15">
        <v>7.4853615064411294E-2</v>
      </c>
      <c r="H55" s="15">
        <v>4.65947383464375E-2</v>
      </c>
      <c r="I55" s="15">
        <v>3.1100908536687216E-2</v>
      </c>
      <c r="J55" s="15">
        <v>2.1625512175224435E-2</v>
      </c>
      <c r="K55" s="16">
        <v>1.5585481178308247E-2</v>
      </c>
      <c r="Q55" t="s">
        <v>394</v>
      </c>
      <c r="Y55" t="str">
        <f>Q55</f>
        <v>Annual change in cost per kWh capacity</v>
      </c>
    </row>
    <row r="56" spans="2:29" x14ac:dyDescent="0.35">
      <c r="C56" t="str">
        <f>C52</f>
        <v>Capital interest</v>
      </c>
      <c r="D56" s="5" t="s">
        <v>61</v>
      </c>
      <c r="E56" s="15" cm="1">
        <f t="array" ref="E56:K56">_xlfn.ANCHORARRAY(E52)*_xlfn.ANCHORARRAY(E$31)</f>
        <v>4.2637170291560091E-2</v>
      </c>
      <c r="F56" s="15">
        <v>2.4886958198706111E-2</v>
      </c>
      <c r="G56" s="15">
        <v>1.6869276154814112E-2</v>
      </c>
      <c r="H56" s="15">
        <v>1.2246740240514517E-2</v>
      </c>
      <c r="I56" s="15">
        <v>9.2691903334436495E-3</v>
      </c>
      <c r="J56" s="15">
        <v>7.2407958497448834E-3</v>
      </c>
      <c r="K56" s="16">
        <v>5.8159878961684588E-3</v>
      </c>
      <c r="P56" s="14">
        <f>100*(K54+K55+K56+K69+K75)</f>
        <v>4.3998883111117202</v>
      </c>
      <c r="Q56" s="156">
        <v>0.05</v>
      </c>
      <c r="R56" s="156">
        <v>0.02</v>
      </c>
      <c r="S56" s="156">
        <v>0</v>
      </c>
      <c r="T56" s="156">
        <v>-0.02</v>
      </c>
      <c r="U56" s="156">
        <v>-0.05</v>
      </c>
      <c r="X56" s="6">
        <f>(K54+K55+K56+K69+K75)/(E54+E55+E56+E69+E75)</f>
        <v>0.1095575441216055</v>
      </c>
      <c r="Y56" s="9">
        <v>0.05</v>
      </c>
      <c r="Z56" s="9">
        <v>0.02</v>
      </c>
      <c r="AA56" s="9">
        <v>0</v>
      </c>
      <c r="AB56" s="9">
        <v>-0.02</v>
      </c>
      <c r="AC56" s="9">
        <v>-0.05</v>
      </c>
    </row>
    <row r="57" spans="2:29" x14ac:dyDescent="0.35">
      <c r="B57" t="s">
        <v>18</v>
      </c>
      <c r="D57" s="5"/>
      <c r="K57" s="5"/>
      <c r="O57" s="247" t="s">
        <v>379</v>
      </c>
      <c r="P57" s="84" cm="1">
        <f t="array" ref="P57:P66">POWER(10,((_xlfn.SEQUENCE(10)-1))/8+2)</f>
        <v>100</v>
      </c>
      <c r="Q57" s="154">
        <f t="dataTable" ref="Q57:U66" dt2D="1" dtr="1" r1="L11" r2="E28"/>
        <v>18.134683346800138</v>
      </c>
      <c r="R57" s="154">
        <v>13.04076468473167</v>
      </c>
      <c r="S57" s="154">
        <v>11.394528112824583</v>
      </c>
      <c r="T57" s="154">
        <v>10.472324805941666</v>
      </c>
      <c r="U57" s="154">
        <v>9.8010457317428088</v>
      </c>
      <c r="W57" t="s">
        <v>379</v>
      </c>
      <c r="X57" s="84" cm="1">
        <f t="array" ref="X57:X66">P57:P66</f>
        <v>100</v>
      </c>
      <c r="Y57" s="6">
        <f t="dataTable" ref="Y57:AC66" dt2D="1" dtr="1" r1="L11" r2="E28" ca="1"/>
        <v>0.5446013949755858</v>
      </c>
      <c r="Z57" s="6">
        <v>0.39162628335092348</v>
      </c>
      <c r="AA57" s="6">
        <v>0.34218826911183714</v>
      </c>
      <c r="AB57" s="6">
        <v>0.31449364672582492</v>
      </c>
      <c r="AC57" s="6">
        <v>0.29433451225209706</v>
      </c>
    </row>
    <row r="58" spans="2:29" x14ac:dyDescent="0.35">
      <c r="C58" t="str" cm="1">
        <f t="array" ref="C58:K58">vehicles!C97:K97</f>
        <v>Driver cost</v>
      </c>
      <c r="D58" s="5" t="str">
        <v>euro per h</v>
      </c>
      <c r="E58" s="38">
        <v>33.6</v>
      </c>
      <c r="F58" s="43">
        <v>33.6</v>
      </c>
      <c r="G58" s="43">
        <v>33.6</v>
      </c>
      <c r="H58" s="43">
        <v>33.6</v>
      </c>
      <c r="I58" s="43">
        <v>33.6</v>
      </c>
      <c r="J58" s="43">
        <v>33.6</v>
      </c>
      <c r="K58" s="44">
        <v>33.6</v>
      </c>
      <c r="O58" s="247"/>
      <c r="P58" s="84">
        <v>133.35214321633242</v>
      </c>
      <c r="Q58" s="154">
        <v>15.07960413069655</v>
      </c>
      <c r="R58" s="154">
        <v>9.2073812837672211</v>
      </c>
      <c r="S58" s="154">
        <v>7.3096148194165806</v>
      </c>
      <c r="T58" s="154">
        <v>6.2465072813011933</v>
      </c>
      <c r="U58" s="154">
        <v>5.4726629037831156</v>
      </c>
      <c r="X58" s="84">
        <v>133.35214321633242</v>
      </c>
      <c r="Y58" s="6">
        <v>0.45285452677650528</v>
      </c>
      <c r="Z58" s="6">
        <v>0.27650621713758849</v>
      </c>
      <c r="AA58" s="6">
        <v>0.2195145264607502</v>
      </c>
      <c r="AB58" s="6">
        <v>0.18758841905679269</v>
      </c>
      <c r="AC58" s="6">
        <v>0.16434915320191237</v>
      </c>
    </row>
    <row r="59" spans="2:29" x14ac:dyDescent="0.35">
      <c r="B59" t="s">
        <v>18</v>
      </c>
      <c r="C59" t="s">
        <v>74</v>
      </c>
      <c r="D59" s="5" t="s">
        <v>2</v>
      </c>
      <c r="E59" s="42">
        <v>1</v>
      </c>
      <c r="F59" s="7">
        <f t="shared" ref="F59:K59" si="7">E59*POWER(1+$L59,5)</f>
        <v>0.69568836929999978</v>
      </c>
      <c r="G59" s="7">
        <f t="shared" si="7"/>
        <v>0.48398230717929286</v>
      </c>
      <c r="H59" s="7">
        <f t="shared" si="7"/>
        <v>0.33670086205161381</v>
      </c>
      <c r="I59" s="7">
        <f t="shared" si="7"/>
        <v>0.23423887366259138</v>
      </c>
      <c r="J59" s="7">
        <f t="shared" si="7"/>
        <v>0.16295726004499686</v>
      </c>
      <c r="K59" s="8">
        <f t="shared" si="7"/>
        <v>0.11336747050629987</v>
      </c>
      <c r="L59" s="9">
        <v>-7.0000000000000007E-2</v>
      </c>
      <c r="O59" s="247"/>
      <c r="P59" s="84">
        <v>177.82794100389242</v>
      </c>
      <c r="Q59" s="154">
        <v>13.904455150618583</v>
      </c>
      <c r="R59" s="154">
        <v>6.9940104847563456</v>
      </c>
      <c r="S59" s="154">
        <v>4.7607147665119625</v>
      </c>
      <c r="T59" s="154">
        <v>3.5096474947974641</v>
      </c>
      <c r="U59" s="154">
        <v>2.5989857419616307</v>
      </c>
      <c r="X59" s="84">
        <v>177.82794100389242</v>
      </c>
      <c r="Y59" s="6">
        <v>0.45260899804629595</v>
      </c>
      <c r="Z59" s="6">
        <v>0.22766458976927467</v>
      </c>
      <c r="AA59" s="6">
        <v>0.15496776515973906</v>
      </c>
      <c r="AB59" s="6">
        <v>0.11424381746057151</v>
      </c>
      <c r="AC59" s="6">
        <v>8.4600534135530675E-2</v>
      </c>
    </row>
    <row r="60" spans="2:29" x14ac:dyDescent="0.35">
      <c r="C60" t="s">
        <v>66</v>
      </c>
      <c r="D60" s="5" t="s">
        <v>386</v>
      </c>
      <c r="E60" s="38" cm="1">
        <f t="array" ref="E60:K60">vehicles!E86:K86</f>
        <v>11</v>
      </c>
      <c r="F60" s="43">
        <v>11</v>
      </c>
      <c r="G60" s="43">
        <v>11</v>
      </c>
      <c r="H60" s="43">
        <v>11</v>
      </c>
      <c r="I60" s="43">
        <v>11</v>
      </c>
      <c r="J60" s="43">
        <v>11</v>
      </c>
      <c r="K60" s="44">
        <v>11</v>
      </c>
      <c r="O60" s="247"/>
      <c r="P60" s="84">
        <v>237.13737056616563</v>
      </c>
      <c r="Q60" s="154">
        <v>15.506893027462585</v>
      </c>
      <c r="R60" s="154">
        <v>7.2117055122632685</v>
      </c>
      <c r="S60" s="154">
        <v>4.5308929661118098</v>
      </c>
      <c r="T60" s="154">
        <v>3.0291317749300979</v>
      </c>
      <c r="U60" s="154">
        <v>1.9359879371665425</v>
      </c>
      <c r="X60" s="84">
        <v>237.13737056616563</v>
      </c>
      <c r="Y60" s="6">
        <v>0.52449416369766722</v>
      </c>
      <c r="Z60" s="6">
        <v>0.24392361801874859</v>
      </c>
      <c r="AA60" s="6">
        <v>0.15324971371478627</v>
      </c>
      <c r="AB60" s="6">
        <v>0.10245520712681175</v>
      </c>
      <c r="AC60" s="6">
        <v>6.5481484410490662E-2</v>
      </c>
    </row>
    <row r="61" spans="2:29" x14ac:dyDescent="0.35">
      <c r="C61" t="s">
        <v>72</v>
      </c>
      <c r="D61" s="5" t="s">
        <v>73</v>
      </c>
      <c r="E61" s="64" cm="1">
        <f t="array" ref="E61:K61">_xlfn.FLOOR.MATH(_xlfn.ANCHORARRAY(E60)/4.5)</f>
        <v>2</v>
      </c>
      <c r="F61" s="43">
        <v>2</v>
      </c>
      <c r="G61" s="43">
        <v>2</v>
      </c>
      <c r="H61" s="43">
        <v>2</v>
      </c>
      <c r="I61" s="43">
        <v>2</v>
      </c>
      <c r="J61" s="43">
        <v>2</v>
      </c>
      <c r="K61" s="44">
        <v>2</v>
      </c>
      <c r="L61" s="9"/>
      <c r="O61" s="247"/>
      <c r="P61" s="84">
        <v>316.22776601683825</v>
      </c>
      <c r="Q61" s="154">
        <v>19.025098304388578</v>
      </c>
      <c r="R61" s="154">
        <v>8.883149274467419</v>
      </c>
      <c r="S61" s="154">
        <v>5.6055061648905298</v>
      </c>
      <c r="T61" s="154">
        <v>3.7694071703625389</v>
      </c>
      <c r="U61" s="154">
        <v>2.4328962036536699</v>
      </c>
      <c r="X61" s="84">
        <v>316.22776601683825</v>
      </c>
      <c r="Y61" s="6">
        <v>0.63062990056186041</v>
      </c>
      <c r="Z61" s="6">
        <v>0.29445206821040837</v>
      </c>
      <c r="AA61" s="6">
        <v>0.18580717633129817</v>
      </c>
      <c r="AB61" s="6">
        <v>0.12494552359156842</v>
      </c>
      <c r="AC61" s="6">
        <v>8.0643845642234063E-2</v>
      </c>
    </row>
    <row r="62" spans="2:29" x14ac:dyDescent="0.35">
      <c r="B62" t="s">
        <v>18</v>
      </c>
      <c r="C62" t="s">
        <v>387</v>
      </c>
      <c r="D62" s="5" t="s">
        <v>63</v>
      </c>
      <c r="E62" s="64" cm="1">
        <f t="array" ref="E62:K62">_xlfn.ANCHORARRAY(E60)-_xlfn.ANCHORARRAY(E61)*0.75-2</f>
        <v>7.5</v>
      </c>
      <c r="F62" s="64">
        <v>7.5</v>
      </c>
      <c r="G62" s="64">
        <v>7.5</v>
      </c>
      <c r="H62" s="64">
        <v>7.5</v>
      </c>
      <c r="I62" s="64">
        <v>7.5</v>
      </c>
      <c r="J62" s="64">
        <v>7.5</v>
      </c>
      <c r="K62" s="131">
        <v>7.5</v>
      </c>
      <c r="L62" s="9"/>
      <c r="O62" s="247"/>
      <c r="P62" s="84">
        <v>421.69650342858256</v>
      </c>
      <c r="Q62" s="154">
        <v>23.716912385601603</v>
      </c>
      <c r="R62" s="154">
        <v>11.112147641193326</v>
      </c>
      <c r="S62" s="154">
        <v>7.0385795143508858</v>
      </c>
      <c r="T62" s="154">
        <v>4.7566122312191323</v>
      </c>
      <c r="U62" s="154">
        <v>3.0955502140480671</v>
      </c>
      <c r="X62" s="84">
        <v>421.69650342858256</v>
      </c>
      <c r="Y62" s="6">
        <v>0.73342431245305717</v>
      </c>
      <c r="Z62" s="6">
        <v>0.34363323147269559</v>
      </c>
      <c r="AA62" s="6">
        <v>0.21766177894610567</v>
      </c>
      <c r="AB62" s="6">
        <v>0.14709398080863223</v>
      </c>
      <c r="AC62" s="6">
        <v>9.5727122927706007E-2</v>
      </c>
    </row>
    <row r="63" spans="2:29" x14ac:dyDescent="0.35">
      <c r="C63" t="s">
        <v>71</v>
      </c>
      <c r="D63" s="5" t="s">
        <v>23</v>
      </c>
      <c r="E63" s="38" cm="1">
        <f t="array" ref="E63:K63">vehicles!E107:K107</f>
        <v>50</v>
      </c>
      <c r="F63" s="43">
        <v>50</v>
      </c>
      <c r="G63" s="43">
        <v>50</v>
      </c>
      <c r="H63" s="43">
        <v>50</v>
      </c>
      <c r="I63" s="43">
        <v>50</v>
      </c>
      <c r="J63" s="43">
        <v>50</v>
      </c>
      <c r="K63" s="44">
        <v>50</v>
      </c>
      <c r="L63" t="s">
        <v>388</v>
      </c>
      <c r="O63" s="247"/>
      <c r="P63" s="84">
        <v>562.34132519034927</v>
      </c>
      <c r="Q63" s="154">
        <v>29.973686851127063</v>
      </c>
      <c r="R63" s="154">
        <v>14.08462562367235</v>
      </c>
      <c r="S63" s="154">
        <v>8.9496489149383844</v>
      </c>
      <c r="T63" s="154">
        <v>6.0730924209495685</v>
      </c>
      <c r="U63" s="154">
        <v>3.9792242188366469</v>
      </c>
      <c r="X63" s="84">
        <v>562.34132519034927</v>
      </c>
      <c r="Y63" s="6">
        <v>0.8301814874700908</v>
      </c>
      <c r="Z63" s="6">
        <v>0.39010200876506446</v>
      </c>
      <c r="AA63" s="6">
        <v>0.24787851042285966</v>
      </c>
      <c r="AB63" s="6">
        <v>0.16820649807308133</v>
      </c>
      <c r="AC63" s="6">
        <v>0.11021261072681825</v>
      </c>
    </row>
    <row r="64" spans="2:29" x14ac:dyDescent="0.35">
      <c r="C64" t="s">
        <v>70</v>
      </c>
      <c r="D64" s="5" t="s">
        <v>63</v>
      </c>
      <c r="E64">
        <v>0.2</v>
      </c>
      <c r="F64" s="43">
        <f t="shared" ref="F64:K64" si="8">E64*POWER(1+$L64,5)</f>
        <v>0.2</v>
      </c>
      <c r="G64" s="43">
        <f t="shared" si="8"/>
        <v>0.2</v>
      </c>
      <c r="H64" s="43">
        <f t="shared" si="8"/>
        <v>0.2</v>
      </c>
      <c r="I64" s="43">
        <f t="shared" si="8"/>
        <v>0.2</v>
      </c>
      <c r="J64" s="43">
        <f t="shared" si="8"/>
        <v>0.2</v>
      </c>
      <c r="K64" s="44">
        <f t="shared" si="8"/>
        <v>0.2</v>
      </c>
      <c r="L64" s="9">
        <v>0</v>
      </c>
      <c r="O64" s="247"/>
      <c r="P64" s="84">
        <v>749.89420933245651</v>
      </c>
      <c r="Q64" s="154">
        <v>38.317321325265347</v>
      </c>
      <c r="R64" s="154">
        <v>18.048528618193277</v>
      </c>
      <c r="S64" s="154">
        <v>11.498124099320101</v>
      </c>
      <c r="T64" s="154">
        <v>7.8286607841371261</v>
      </c>
      <c r="U64" s="154">
        <v>5.1576294414405481</v>
      </c>
      <c r="X64" s="84">
        <v>749.89420933245651</v>
      </c>
      <c r="Y64" s="6">
        <v>0.91946039126365742</v>
      </c>
      <c r="Z64" s="6">
        <v>0.43309152652263039</v>
      </c>
      <c r="AA64" s="6">
        <v>0.27590837035333232</v>
      </c>
      <c r="AB64" s="6">
        <v>0.18785612508113719</v>
      </c>
      <c r="AC64" s="6">
        <v>0.12376219997124355</v>
      </c>
    </row>
    <row r="65" spans="2:29" x14ac:dyDescent="0.35">
      <c r="C65" t="s">
        <v>385</v>
      </c>
      <c r="D65" s="5" t="s">
        <v>63</v>
      </c>
      <c r="E65" s="15" cm="1">
        <f t="array" ref="E65:K65">(_xlfn.ANCHORARRAY(E32)/E2-_xlfn.ANCHORARRAY(E63)*_xlfn.ANCHORARRAY(E31))/(E17:K17*E32/E2)+E64:K64</f>
        <v>0.81982142857142848</v>
      </c>
      <c r="F65" s="15">
        <v>0.82744029192722457</v>
      </c>
      <c r="G65" s="15">
        <v>0.75349863493259139</v>
      </c>
      <c r="H65" s="15">
        <v>0.66261568628796641</v>
      </c>
      <c r="I65" s="15">
        <v>0.57740573140906337</v>
      </c>
      <c r="J65" s="15">
        <v>0.50437087550186577</v>
      </c>
      <c r="K65" s="16">
        <v>0.44409732323668893</v>
      </c>
      <c r="O65" s="247"/>
      <c r="P65" s="84">
        <v>1000</v>
      </c>
      <c r="Q65" s="154">
        <v>49.443797062528581</v>
      </c>
      <c r="R65" s="154">
        <v>23.334504492331462</v>
      </c>
      <c r="S65" s="154">
        <v>14.896585642989852</v>
      </c>
      <c r="T65" s="154">
        <v>10.169757920375201</v>
      </c>
      <c r="U65" s="154">
        <v>6.7290626703666216</v>
      </c>
      <c r="X65" s="84">
        <v>1000</v>
      </c>
      <c r="Y65" s="6">
        <v>1.0002798348955155</v>
      </c>
      <c r="Z65" s="6">
        <v>0.47207204316124807</v>
      </c>
      <c r="AA65" s="6">
        <v>0.3013675144858457</v>
      </c>
      <c r="AB65" s="6">
        <v>0.20574074763423997</v>
      </c>
      <c r="AC65" s="6">
        <v>0.13613326841390602</v>
      </c>
    </row>
    <row r="66" spans="2:29" x14ac:dyDescent="0.35">
      <c r="C66" t="s">
        <v>64</v>
      </c>
      <c r="D66" s="5" t="s">
        <v>65</v>
      </c>
      <c r="E66">
        <v>60</v>
      </c>
      <c r="F66" s="43">
        <f t="shared" ref="F66:K66" si="9">E66*POWER(1+$L66,5)</f>
        <v>60</v>
      </c>
      <c r="G66" s="43">
        <f t="shared" si="9"/>
        <v>60</v>
      </c>
      <c r="H66" s="43">
        <f t="shared" si="9"/>
        <v>60</v>
      </c>
      <c r="I66" s="43">
        <f t="shared" si="9"/>
        <v>60</v>
      </c>
      <c r="J66" s="43">
        <f t="shared" si="9"/>
        <v>60</v>
      </c>
      <c r="K66" s="44">
        <f t="shared" si="9"/>
        <v>60</v>
      </c>
      <c r="L66" s="9">
        <v>0</v>
      </c>
      <c r="O66" s="247"/>
      <c r="P66" s="84">
        <v>1333.5214321633246</v>
      </c>
      <c r="Q66" s="154">
        <v>64.28123116084447</v>
      </c>
      <c r="R66" s="154">
        <v>30.383484131592141</v>
      </c>
      <c r="S66" s="154">
        <v>19.428517127437036</v>
      </c>
      <c r="T66" s="154">
        <v>13.291667193213083</v>
      </c>
      <c r="U66" s="154">
        <v>8.8246056335800152</v>
      </c>
      <c r="X66" s="84">
        <v>1333.5214321633246</v>
      </c>
      <c r="Y66" s="6">
        <v>1.0714020274907921</v>
      </c>
      <c r="Z66" s="6">
        <v>0.506414172736801</v>
      </c>
      <c r="AA66" s="6">
        <v>0.32382317926348442</v>
      </c>
      <c r="AB66" s="6">
        <v>0.22153774783666202</v>
      </c>
      <c r="AC66" s="6">
        <v>0.14708337405621164</v>
      </c>
    </row>
    <row r="67" spans="2:29" x14ac:dyDescent="0.35">
      <c r="C67" t="s">
        <v>67</v>
      </c>
      <c r="D67" s="5" t="s">
        <v>68</v>
      </c>
      <c r="E67" s="12">
        <f t="shared" ref="E67:K67" si="10">MAX(0,E78-E61*(1-E59))</f>
        <v>0.41538461538461535</v>
      </c>
      <c r="F67" s="12">
        <f t="shared" si="10"/>
        <v>0</v>
      </c>
      <c r="G67" s="12">
        <f t="shared" si="10"/>
        <v>0</v>
      </c>
      <c r="H67" s="12">
        <f t="shared" si="10"/>
        <v>0</v>
      </c>
      <c r="I67" s="12">
        <f t="shared" si="10"/>
        <v>0</v>
      </c>
      <c r="J67" s="12">
        <f t="shared" si="10"/>
        <v>0</v>
      </c>
      <c r="K67" s="13">
        <f t="shared" si="10"/>
        <v>0</v>
      </c>
    </row>
    <row r="68" spans="2:29" x14ac:dyDescent="0.35">
      <c r="C68" t="s">
        <v>67</v>
      </c>
      <c r="D68" s="5" t="s">
        <v>69</v>
      </c>
      <c r="E68" s="45" cm="1">
        <f t="array" ref="E68:K68">E67:K67/_xlfn.ANCHORARRAY(E79)</f>
        <v>9.2307692307692305E-4</v>
      </c>
      <c r="F68" s="45">
        <v>0</v>
      </c>
      <c r="G68" s="45">
        <v>0</v>
      </c>
      <c r="H68" s="45">
        <v>0</v>
      </c>
      <c r="I68" s="45">
        <v>0</v>
      </c>
      <c r="J68" s="45">
        <v>0</v>
      </c>
      <c r="K68" s="46">
        <v>0</v>
      </c>
      <c r="P68">
        <f>Q69</f>
        <v>0</v>
      </c>
      <c r="Q68" s="157" cm="1">
        <f t="array" ref="Q68:W68">E1:K1</f>
        <v>2020</v>
      </c>
      <c r="R68" s="157">
        <v>2025</v>
      </c>
      <c r="S68" s="157">
        <v>2030</v>
      </c>
      <c r="T68" s="157">
        <v>2035</v>
      </c>
      <c r="U68" s="157">
        <v>2040</v>
      </c>
      <c r="V68" s="157">
        <v>2045</v>
      </c>
      <c r="W68" s="157">
        <v>2050</v>
      </c>
    </row>
    <row r="69" spans="2:29" x14ac:dyDescent="0.35">
      <c r="C69" t="s">
        <v>62</v>
      </c>
      <c r="D69" s="5" t="s">
        <v>61</v>
      </c>
      <c r="E69" s="15" cm="1">
        <f t="array" ref="E69:K69">_xlfn.ANCHORARRAY(E65)*E58:K58*_xlfn.ANCHORARRAY(E68)</f>
        <v>2.542707692307692E-2</v>
      </c>
      <c r="F69" s="15">
        <v>0</v>
      </c>
      <c r="G69" s="15">
        <v>0</v>
      </c>
      <c r="H69" s="15">
        <v>0</v>
      </c>
      <c r="I69" s="15">
        <v>0</v>
      </c>
      <c r="J69" s="15">
        <v>0</v>
      </c>
      <c r="K69" s="16">
        <v>0</v>
      </c>
      <c r="P69" s="84">
        <f ca="1">OFFSET(E77,0,P68)*100</f>
        <v>40.160523370512756</v>
      </c>
      <c r="Q69" cm="1">
        <f t="array" ref="Q69:W69">_xlfn.SEQUENCE(1,7,0,1)</f>
        <v>0</v>
      </c>
      <c r="R69">
        <v>1</v>
      </c>
      <c r="S69">
        <v>2</v>
      </c>
      <c r="T69">
        <v>3</v>
      </c>
      <c r="U69">
        <v>4</v>
      </c>
      <c r="V69">
        <v>5</v>
      </c>
      <c r="W69">
        <v>6</v>
      </c>
    </row>
    <row r="70" spans="2:29" x14ac:dyDescent="0.35">
      <c r="C70" s="4" t="s">
        <v>410</v>
      </c>
      <c r="D70" t="s">
        <v>15</v>
      </c>
      <c r="E70" s="37" cm="1">
        <f t="array" ref="E70:K70">_xlfn.ANCHORARRAY(E69)/_xlfn.ANCHORARRAY(E31)</f>
        <v>2.2617777584193456E-2</v>
      </c>
      <c r="F70" s="15">
        <v>0</v>
      </c>
      <c r="G70" s="15">
        <v>0</v>
      </c>
      <c r="H70" s="15">
        <v>0</v>
      </c>
      <c r="I70" s="15">
        <v>0</v>
      </c>
      <c r="J70" s="15">
        <v>0</v>
      </c>
      <c r="K70" s="16">
        <v>0</v>
      </c>
      <c r="O70" s="247" t="s">
        <v>379</v>
      </c>
      <c r="P70" s="84" cm="1">
        <f t="array" ref="P70:P79">P57:P66</f>
        <v>100</v>
      </c>
      <c r="Q70" s="155">
        <f t="dataTable" ref="Q70:W79" dt2D="1" dtr="1" r1="P68" r2="E28" ca="1"/>
        <v>33.299002746059998</v>
      </c>
      <c r="R70" s="155">
        <v>22.179141158881635</v>
      </c>
      <c r="S70" s="155">
        <v>15.204529426415794</v>
      </c>
      <c r="T70" s="155">
        <v>12.033834626517342</v>
      </c>
      <c r="U70" s="155">
        <v>11.406483419149401</v>
      </c>
      <c r="V70" s="155">
        <v>11.156777874707963</v>
      </c>
      <c r="W70" s="155">
        <v>9.6825874618446388</v>
      </c>
    </row>
    <row r="71" spans="2:29" x14ac:dyDescent="0.35">
      <c r="B71" t="s">
        <v>96</v>
      </c>
      <c r="E71" s="52"/>
      <c r="K71" s="5"/>
      <c r="O71" s="247"/>
      <c r="P71" s="84">
        <v>133.35214321633242</v>
      </c>
      <c r="Q71" s="155">
        <v>33.299002746059998</v>
      </c>
      <c r="R71" s="155">
        <v>22.179141158881635</v>
      </c>
      <c r="S71" s="155">
        <v>15.204529426415794</v>
      </c>
      <c r="T71" s="155">
        <v>11.297187117790637</v>
      </c>
      <c r="U71" s="155">
        <v>8.4394009048919436</v>
      </c>
      <c r="V71" s="155">
        <v>6.5900391631680435</v>
      </c>
      <c r="W71" s="155">
        <v>5.3361052936108928</v>
      </c>
    </row>
    <row r="72" spans="2:29" x14ac:dyDescent="0.35">
      <c r="C72" t="str" cm="1">
        <f t="array" ref="C72:K72">world!C8:K8</f>
        <v>SCC</v>
      </c>
      <c r="D72" t="str">
        <v>euro per kg</v>
      </c>
      <c r="E72" s="65">
        <v>0.08</v>
      </c>
      <c r="F72" s="64">
        <v>0.16500000000000001</v>
      </c>
      <c r="G72" s="64">
        <v>0.25</v>
      </c>
      <c r="H72" s="64">
        <v>0.38750000000000001</v>
      </c>
      <c r="I72" s="64">
        <v>0.52500000000000002</v>
      </c>
      <c r="J72" s="64">
        <v>0.66250000000000009</v>
      </c>
      <c r="K72" s="131">
        <v>0.8</v>
      </c>
      <c r="O72" s="247"/>
      <c r="P72" s="84">
        <v>177.82794100389242</v>
      </c>
      <c r="Q72" s="155">
        <v>30.720677694517111</v>
      </c>
      <c r="R72" s="155">
        <v>19.535163859323628</v>
      </c>
      <c r="S72" s="155">
        <v>11.955495486805928</v>
      </c>
      <c r="T72" s="155">
        <v>7.4923088453798137</v>
      </c>
      <c r="U72" s="155">
        <v>4.9594195994338923</v>
      </c>
      <c r="V72" s="155">
        <v>3.417682023681929</v>
      </c>
      <c r="W72" s="155">
        <v>2.4382844481932944</v>
      </c>
    </row>
    <row r="73" spans="2:29" x14ac:dyDescent="0.35">
      <c r="C73" t="s">
        <v>130</v>
      </c>
      <c r="D73" t="s">
        <v>231</v>
      </c>
      <c r="E73" s="66" cm="1">
        <f t="array" ref="E73:K73">E12:K12*(_xlfn.ANCHORARRAY(E32)/E2:K2)/(_xlfn.ANCHORARRAY(E34)*_xlfn.ANCHORARRAY(E45))</f>
        <v>0.12763285024154591</v>
      </c>
      <c r="F73" s="55">
        <v>7.0073481429186735E-2</v>
      </c>
      <c r="G73" s="55">
        <v>3.9036055698745423E-2</v>
      </c>
      <c r="H73" s="55">
        <v>2.2062413801884999E-2</v>
      </c>
      <c r="I73" s="55">
        <v>1.2645748084208588E-2</v>
      </c>
      <c r="J73" s="55">
        <v>7.3460099669758914E-3</v>
      </c>
      <c r="K73" s="56">
        <v>4.3210237682397481E-3</v>
      </c>
      <c r="O73" s="247"/>
      <c r="P73" s="84">
        <v>237.13737056616563</v>
      </c>
      <c r="Q73" s="155">
        <v>29.565425319777596</v>
      </c>
      <c r="R73" s="155">
        <v>17.36493962627933</v>
      </c>
      <c r="S73" s="155">
        <v>9.5189971961620916</v>
      </c>
      <c r="T73" s="155">
        <v>5.2041866010762812</v>
      </c>
      <c r="U73" s="155">
        <v>3.2280226515801274</v>
      </c>
      <c r="V73" s="155">
        <v>2.3359783725452341</v>
      </c>
      <c r="W73" s="155">
        <v>1.743084668245402</v>
      </c>
    </row>
    <row r="74" spans="2:29" x14ac:dyDescent="0.35">
      <c r="C74" s="4" t="s">
        <v>414</v>
      </c>
      <c r="D74" t="s">
        <v>15</v>
      </c>
      <c r="E74" s="66" cm="1">
        <f t="array" ref="E74:K74">E72:K72*_xlfn.ANCHORARRAY(E73)</f>
        <v>1.0210628019323674E-2</v>
      </c>
      <c r="F74" s="55">
        <v>1.1562124435815812E-2</v>
      </c>
      <c r="G74" s="55">
        <v>9.7590139246863557E-3</v>
      </c>
      <c r="H74" s="55">
        <v>8.5491853482304366E-3</v>
      </c>
      <c r="I74" s="55">
        <v>6.6390177442095088E-3</v>
      </c>
      <c r="J74" s="55">
        <v>4.8667316031215284E-3</v>
      </c>
      <c r="K74" s="56">
        <v>3.4568190145917986E-3</v>
      </c>
      <c r="O74" s="247"/>
      <c r="P74" s="84">
        <v>316.22776601683825</v>
      </c>
      <c r="Q74" s="155">
        <v>30.168405093761248</v>
      </c>
      <c r="R74" s="155">
        <v>16.712659653288242</v>
      </c>
      <c r="S74" s="155">
        <v>8.519727297925467</v>
      </c>
      <c r="T74" s="155">
        <v>5.5790572358712165</v>
      </c>
      <c r="U74" s="155">
        <v>3.947667406816544</v>
      </c>
      <c r="V74" s="155">
        <v>2.9041599722417577</v>
      </c>
      <c r="W74" s="155">
        <v>2.1970467888551939</v>
      </c>
    </row>
    <row r="75" spans="2:29" x14ac:dyDescent="0.35">
      <c r="C75" t="str">
        <f>C74</f>
        <v>CO₂ (SCC)</v>
      </c>
      <c r="D75" t="s">
        <v>61</v>
      </c>
      <c r="E75" s="66" cm="1">
        <f t="array" ref="E75:K75">_xlfn.ANCHORARRAY(E74)/_xlfn.ANCHORARRAY(E31)</f>
        <v>9.0825113022095054E-3</v>
      </c>
      <c r="F75" s="55">
        <v>1.0598861309503615E-2</v>
      </c>
      <c r="G75" s="55">
        <v>9.2192498701581249E-3</v>
      </c>
      <c r="H75" s="55">
        <v>8.32304914432885E-3</v>
      </c>
      <c r="I75" s="55">
        <v>6.6608496931718792E-3</v>
      </c>
      <c r="J75" s="55">
        <v>5.0318916159587763E-3</v>
      </c>
      <c r="K75" s="56">
        <v>3.6833128014946361E-3</v>
      </c>
      <c r="O75" s="247"/>
      <c r="P75" s="84">
        <v>421.69650342858256</v>
      </c>
      <c r="Q75" s="155">
        <v>32.337232326368515</v>
      </c>
      <c r="R75" s="155">
        <v>17.301349781467213</v>
      </c>
      <c r="S75" s="155">
        <v>10.079690490751195</v>
      </c>
      <c r="T75" s="155">
        <v>6.8065854713781997</v>
      </c>
      <c r="U75" s="155">
        <v>4.908859701649348</v>
      </c>
      <c r="V75" s="155">
        <v>3.6619921563995552</v>
      </c>
      <c r="W75" s="155">
        <v>2.8024284107466895</v>
      </c>
    </row>
    <row r="76" spans="2:29" x14ac:dyDescent="0.35">
      <c r="O76" s="247"/>
      <c r="P76" s="84">
        <v>562.34132519034927</v>
      </c>
      <c r="Q76" s="155">
        <v>36.10498102344993</v>
      </c>
      <c r="R76" s="155">
        <v>19.582799924912749</v>
      </c>
      <c r="S76" s="155">
        <v>12.196056311166009</v>
      </c>
      <c r="T76" s="155">
        <v>8.4535322794760344</v>
      </c>
      <c r="U76" s="155">
        <v>6.1917543996050277</v>
      </c>
      <c r="V76" s="155">
        <v>4.6726808355730416</v>
      </c>
      <c r="W76" s="155">
        <v>3.6097266221580848</v>
      </c>
    </row>
    <row r="77" spans="2:29" x14ac:dyDescent="0.35">
      <c r="C77" t="s">
        <v>382</v>
      </c>
      <c r="D77" t="s">
        <v>383</v>
      </c>
      <c r="E77" s="14" cm="1">
        <f t="array" ref="E77:K77">_xlfn.ANCHORARRAY(E54)+_xlfn.ANCHORARRAY(E55)+_xlfn.ANCHORARRAY(E56)+_xlfn.ANCHORARRAY(E69)+_xlfn.ANCHORARRAY(E75)</f>
        <v>0.40160523370512757</v>
      </c>
      <c r="F77" s="14">
        <v>0.22499093540939474</v>
      </c>
      <c r="G77" s="14">
        <v>0.14293622157293998</v>
      </c>
      <c r="H77" s="14">
        <v>0.10070701778527505</v>
      </c>
      <c r="I77" s="14">
        <v>7.4479421441066465E-2</v>
      </c>
      <c r="J77" s="14">
        <v>5.6619574601667423E-2</v>
      </c>
      <c r="K77" s="14">
        <v>4.3998883111117201E-2</v>
      </c>
      <c r="O77" s="247"/>
      <c r="P77" s="84">
        <v>749.89420933245651</v>
      </c>
      <c r="Q77" s="155">
        <v>41.673705239878863</v>
      </c>
      <c r="R77" s="155">
        <v>23.556691431131288</v>
      </c>
      <c r="S77" s="155">
        <v>15.058186653786276</v>
      </c>
      <c r="T77" s="155">
        <v>10.657552079860388</v>
      </c>
      <c r="U77" s="155">
        <v>7.9033147009320484</v>
      </c>
      <c r="V77" s="155">
        <v>6.0205254184954438</v>
      </c>
      <c r="W77" s="155">
        <v>4.6862818844245053</v>
      </c>
    </row>
    <row r="78" spans="2:29" x14ac:dyDescent="0.35">
      <c r="C78" t="s">
        <v>391</v>
      </c>
      <c r="E78" cm="1">
        <f t="array" ref="E78:K78">(1-E35)*_xlfn.ANCHORARRAY(E79)*_xlfn.ANCHORARRAY(E31)/(_xlfn.ANCHORARRAY(E32)-_xlfn.ANCHORARRAY(E63)*_xlfn.ANCHORARRAY(E31))</f>
        <v>0.41538461538461535</v>
      </c>
      <c r="F78">
        <v>0.41538461538461541</v>
      </c>
      <c r="G78">
        <v>0.41538461538461535</v>
      </c>
      <c r="H78">
        <v>0.41538461538461541</v>
      </c>
      <c r="I78">
        <v>0.41538461538461535</v>
      </c>
      <c r="J78">
        <v>0.41538461538461546</v>
      </c>
      <c r="K78">
        <v>0.41538461538461541</v>
      </c>
      <c r="O78" s="247"/>
      <c r="P78" s="84">
        <v>1000</v>
      </c>
      <c r="Q78" s="155">
        <v>49.429964833484064</v>
      </c>
      <c r="R78" s="155">
        <v>28.875949712085543</v>
      </c>
      <c r="S78" s="155">
        <v>18.912326166417319</v>
      </c>
      <c r="T78" s="155">
        <v>13.602389895316607</v>
      </c>
      <c r="U78" s="155">
        <v>10.186263494812769</v>
      </c>
      <c r="V78" s="155">
        <v>7.8179516212098541</v>
      </c>
      <c r="W78" s="155">
        <v>6.1218952161311444</v>
      </c>
    </row>
    <row r="79" spans="2:29" x14ac:dyDescent="0.35">
      <c r="C79" t="s">
        <v>389</v>
      </c>
      <c r="E79" cm="1">
        <f t="array" ref="E79:K79">_xlfn.ANCHORARRAY(E62)*E66:K66</f>
        <v>450</v>
      </c>
      <c r="F79">
        <v>450</v>
      </c>
      <c r="G79">
        <v>450</v>
      </c>
      <c r="H79">
        <v>450</v>
      </c>
      <c r="I79">
        <v>450</v>
      </c>
      <c r="J79">
        <v>450</v>
      </c>
      <c r="K79">
        <v>450</v>
      </c>
      <c r="O79" s="247"/>
      <c r="P79" s="84">
        <v>1333.5214321633246</v>
      </c>
      <c r="Q79" s="155">
        <v>59.997302143799537</v>
      </c>
      <c r="R79" s="155">
        <v>36.021247951987448</v>
      </c>
      <c r="S79" s="155">
        <v>24.083278980998209</v>
      </c>
      <c r="T79" s="155">
        <v>17.533482299041562</v>
      </c>
      <c r="U79" s="155">
        <v>13.23099823725161</v>
      </c>
      <c r="V79" s="155">
        <v>10.214889272371398</v>
      </c>
      <c r="W79" s="155">
        <v>8.0363189072072565</v>
      </c>
    </row>
    <row r="80" spans="2:29" x14ac:dyDescent="0.35">
      <c r="C80" t="s">
        <v>390</v>
      </c>
      <c r="E80" cm="1">
        <f t="array" ref="E80:K80">E33:K33/230</f>
        <v>500</v>
      </c>
      <c r="F80">
        <v>500</v>
      </c>
      <c r="G80">
        <v>500</v>
      </c>
      <c r="H80">
        <v>500</v>
      </c>
      <c r="I80">
        <v>500</v>
      </c>
      <c r="J80">
        <v>500</v>
      </c>
      <c r="K80">
        <v>500</v>
      </c>
    </row>
  </sheetData>
  <mergeCells count="2">
    <mergeCell ref="O70:O79"/>
    <mergeCell ref="O57:O66"/>
  </mergeCells>
  <conditionalFormatting sqref="Q57:U66 Q70:W79">
    <cfRule type="colorScale" priority="1">
      <colorScale>
        <cfvo type="min"/>
        <cfvo type="percentile" val="50"/>
        <cfvo type="max"/>
        <color rgb="FF5A8AC6"/>
        <color rgb="FFFCFCFF"/>
        <color rgb="FFF8696B"/>
      </colorScale>
    </cfRule>
  </conditionalFormatting>
  <conditionalFormatting sqref="Y57:AC66">
    <cfRule type="colorScale" priority="3">
      <colorScale>
        <cfvo type="min"/>
        <cfvo type="percentile" val="50"/>
        <cfvo type="max"/>
        <color rgb="FF5A8AC6"/>
        <color rgb="FFFCFCFF"/>
        <color rgb="FFF8696B"/>
      </colorScale>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D96DA-BF17-424C-A665-6696797A937D}">
  <dimension ref="A17:S27"/>
  <sheetViews>
    <sheetView workbookViewId="0">
      <selection activeCell="R43" sqref="R43"/>
    </sheetView>
  </sheetViews>
  <sheetFormatPr defaultRowHeight="14.5" x14ac:dyDescent="0.35"/>
  <cols>
    <col min="1" max="1" width="3.36328125" bestFit="1" customWidth="1"/>
    <col min="2" max="2" width="4.36328125" customWidth="1"/>
    <col min="3" max="9" width="4.7265625" customWidth="1"/>
    <col min="10" max="10" width="1.81640625" customWidth="1"/>
    <col min="11" max="11" width="3.36328125" bestFit="1" customWidth="1"/>
    <col min="12" max="12" width="4.36328125" customWidth="1"/>
    <col min="13" max="19" width="4.7265625" customWidth="1"/>
  </cols>
  <sheetData>
    <row r="17" spans="1:19" x14ac:dyDescent="0.35">
      <c r="B17" s="159"/>
      <c r="C17" s="160">
        <v>2020</v>
      </c>
      <c r="D17" s="160">
        <v>2025</v>
      </c>
      <c r="E17" s="160">
        <v>2030</v>
      </c>
      <c r="F17" s="160">
        <v>2035</v>
      </c>
      <c r="G17" s="160">
        <v>2040</v>
      </c>
      <c r="H17" s="160">
        <v>2045</v>
      </c>
      <c r="I17" s="160">
        <v>2050</v>
      </c>
      <c r="L17" s="159"/>
      <c r="M17" s="160">
        <v>2020</v>
      </c>
      <c r="N17" s="160">
        <v>2025</v>
      </c>
      <c r="O17" s="160">
        <v>2030</v>
      </c>
      <c r="P17" s="160">
        <v>2035</v>
      </c>
      <c r="Q17" s="160">
        <v>2040</v>
      </c>
      <c r="R17" s="160">
        <v>2045</v>
      </c>
      <c r="S17" s="160">
        <v>2050</v>
      </c>
    </row>
    <row r="18" spans="1:19" x14ac:dyDescent="0.35">
      <c r="A18" s="247" t="s">
        <v>379</v>
      </c>
      <c r="B18" s="161">
        <v>100</v>
      </c>
      <c r="C18" s="158">
        <v>47.007859022853275</v>
      </c>
      <c r="D18" s="158">
        <v>34.433248980268964</v>
      </c>
      <c r="E18" s="158">
        <v>27.405200530587841</v>
      </c>
      <c r="F18" s="158">
        <v>24.080283846168555</v>
      </c>
      <c r="G18" s="158">
        <v>22.123279520525596</v>
      </c>
      <c r="H18" s="158">
        <v>19.539021880031083</v>
      </c>
      <c r="I18" s="158">
        <v>17.649769702131181</v>
      </c>
      <c r="K18" s="247" t="s">
        <v>379</v>
      </c>
      <c r="L18" s="161">
        <v>100</v>
      </c>
      <c r="M18" s="158">
        <v>47.007859022853275</v>
      </c>
      <c r="N18" s="158">
        <v>37.385148286266535</v>
      </c>
      <c r="O18" s="158">
        <v>31.261046371520823</v>
      </c>
      <c r="P18" s="158">
        <v>27.769170003096288</v>
      </c>
      <c r="Q18" s="158">
        <v>25.566391469047318</v>
      </c>
      <c r="R18" s="158">
        <v>22.831915880623129</v>
      </c>
      <c r="S18" s="158">
        <v>20.790055615959204</v>
      </c>
    </row>
    <row r="19" spans="1:19" x14ac:dyDescent="0.35">
      <c r="A19" s="247"/>
      <c r="B19" s="161">
        <v>133.35214321633242</v>
      </c>
      <c r="C19" s="158">
        <v>47.007859022853275</v>
      </c>
      <c r="D19" s="158">
        <v>33.78051778403092</v>
      </c>
      <c r="E19" s="158">
        <v>24.74582079996739</v>
      </c>
      <c r="F19" s="158">
        <v>19.009405050042265</v>
      </c>
      <c r="G19" s="158">
        <v>15.440586345712539</v>
      </c>
      <c r="H19" s="158">
        <v>13.024815877731157</v>
      </c>
      <c r="I19" s="158">
        <v>11.293314466930862</v>
      </c>
      <c r="K19" s="247"/>
      <c r="L19" s="161">
        <v>133.35214321633242</v>
      </c>
      <c r="M19" s="158">
        <v>47.007859022853275</v>
      </c>
      <c r="N19" s="158">
        <v>36.752663587368552</v>
      </c>
      <c r="O19" s="158">
        <v>28.694634775594807</v>
      </c>
      <c r="P19" s="158">
        <v>22.913814082749127</v>
      </c>
      <c r="Q19" s="158">
        <v>19.252406553257948</v>
      </c>
      <c r="R19" s="158">
        <v>16.758178098773776</v>
      </c>
      <c r="S19" s="158">
        <v>14.929041106077634</v>
      </c>
    </row>
    <row r="20" spans="1:19" x14ac:dyDescent="0.35">
      <c r="A20" s="247"/>
      <c r="B20" s="161">
        <v>177.82794100389242</v>
      </c>
      <c r="C20" s="158">
        <v>41.636179690960482</v>
      </c>
      <c r="D20" s="158">
        <v>27.88760986387026</v>
      </c>
      <c r="E20" s="158">
        <v>19.152885417245589</v>
      </c>
      <c r="F20" s="158">
        <v>13.835893097196406</v>
      </c>
      <c r="G20" s="158">
        <v>10.643811876852642</v>
      </c>
      <c r="H20" s="158">
        <v>8.5393226213955753</v>
      </c>
      <c r="I20" s="158">
        <v>7.0752252250820948</v>
      </c>
      <c r="K20" s="247"/>
      <c r="L20" s="161">
        <v>177.82794100389242</v>
      </c>
      <c r="M20" s="158">
        <v>41.636179690960482</v>
      </c>
      <c r="N20" s="158">
        <v>31.038348737815792</v>
      </c>
      <c r="O20" s="158">
        <v>23.346245384284146</v>
      </c>
      <c r="P20" s="158">
        <v>18.105845222280223</v>
      </c>
      <c r="Q20" s="158">
        <v>14.954637921418698</v>
      </c>
      <c r="R20" s="158">
        <v>12.861503989056638</v>
      </c>
      <c r="S20" s="158">
        <v>11.371856767580857</v>
      </c>
    </row>
    <row r="21" spans="1:19" x14ac:dyDescent="0.35">
      <c r="A21" s="247"/>
      <c r="B21" s="161">
        <v>237.13737056616563</v>
      </c>
      <c r="C21" s="158">
        <v>38.042117278575695</v>
      </c>
      <c r="D21" s="158">
        <v>24.320113031862032</v>
      </c>
      <c r="E21" s="158">
        <v>15.683006980243286</v>
      </c>
      <c r="F21" s="158">
        <v>10.645882644570156</v>
      </c>
      <c r="G21" s="158">
        <v>7.6850439372171619</v>
      </c>
      <c r="H21" s="158">
        <v>5.7694621153292776</v>
      </c>
      <c r="I21" s="158">
        <v>4.4709868276240021</v>
      </c>
      <c r="K21" s="247"/>
      <c r="L21" s="161">
        <v>237.13737056616563</v>
      </c>
      <c r="M21" s="158">
        <v>38.042117278575695</v>
      </c>
      <c r="N21" s="158">
        <v>27.701685805139665</v>
      </c>
      <c r="O21" s="158">
        <v>20.203359181151733</v>
      </c>
      <c r="P21" s="158">
        <v>15.425817801151936</v>
      </c>
      <c r="Q21" s="158">
        <v>12.668219658855859</v>
      </c>
      <c r="R21" s="158">
        <v>10.878025060749767</v>
      </c>
      <c r="S21" s="158">
        <v>9.6491131742823271</v>
      </c>
    </row>
    <row r="22" spans="1:19" x14ac:dyDescent="0.35">
      <c r="A22" s="247"/>
      <c r="B22" s="161">
        <v>316.22776601683825</v>
      </c>
      <c r="C22" s="158">
        <v>36.916303876011391</v>
      </c>
      <c r="D22" s="158">
        <v>22.791739755269859</v>
      </c>
      <c r="E22" s="158">
        <v>13.979516596068262</v>
      </c>
      <c r="F22" s="158">
        <v>9.0181630172732348</v>
      </c>
      <c r="G22" s="158">
        <v>6.100372079646359</v>
      </c>
      <c r="H22" s="158">
        <v>4.2252133629412274</v>
      </c>
      <c r="I22" s="158">
        <v>2.9734570043100281</v>
      </c>
      <c r="K22" s="247"/>
      <c r="L22" s="161">
        <v>316.22776601683825</v>
      </c>
      <c r="M22" s="158">
        <v>36.916303876011391</v>
      </c>
      <c r="N22" s="158">
        <v>26.469168925326191</v>
      </c>
      <c r="O22" s="158">
        <v>18.948413790580407</v>
      </c>
      <c r="P22" s="158">
        <v>14.502980103695668</v>
      </c>
      <c r="Q22" s="158">
        <v>11.985941876176126</v>
      </c>
      <c r="R22" s="158">
        <v>10.3833016318634</v>
      </c>
      <c r="S22" s="158">
        <v>9.327185662435534</v>
      </c>
    </row>
    <row r="23" spans="1:19" x14ac:dyDescent="0.35">
      <c r="A23" s="247"/>
      <c r="B23" s="161">
        <v>421.69650342858256</v>
      </c>
      <c r="C23" s="158">
        <v>37.807926928534506</v>
      </c>
      <c r="D23" s="158">
        <v>22.843057881844782</v>
      </c>
      <c r="E23" s="158">
        <v>13.642523371963913</v>
      </c>
      <c r="F23" s="158">
        <v>8.559642424133628</v>
      </c>
      <c r="G23" s="158">
        <v>5.6844608255164477</v>
      </c>
      <c r="H23" s="158">
        <v>4.0647651711177879</v>
      </c>
      <c r="I23" s="158">
        <v>2.9625573726889494</v>
      </c>
      <c r="K23" s="247"/>
      <c r="L23" s="161">
        <v>421.69650342858256</v>
      </c>
      <c r="M23" s="158">
        <v>37.807926928534506</v>
      </c>
      <c r="N23" s="158">
        <v>26.898048357854933</v>
      </c>
      <c r="O23" s="158">
        <v>19.239207495193771</v>
      </c>
      <c r="P23" s="158">
        <v>15.007763495132483</v>
      </c>
      <c r="Q23" s="158">
        <v>12.77775976907987</v>
      </c>
      <c r="R23" s="158">
        <v>11.623005391068727</v>
      </c>
      <c r="S23" s="158">
        <v>10.884046180813215</v>
      </c>
    </row>
    <row r="24" spans="1:19" x14ac:dyDescent="0.35">
      <c r="A24" s="247"/>
      <c r="B24" s="161">
        <v>562.34132519034927</v>
      </c>
      <c r="C24" s="158">
        <v>40.611084620299771</v>
      </c>
      <c r="D24" s="158">
        <v>24.326123528228841</v>
      </c>
      <c r="E24" s="158">
        <v>14.734464520381612</v>
      </c>
      <c r="F24" s="158">
        <v>10.053481385283124</v>
      </c>
      <c r="G24" s="158">
        <v>7.1324866408099128</v>
      </c>
      <c r="H24" s="158">
        <v>5.1717345166064312</v>
      </c>
      <c r="I24" s="158">
        <v>3.8112977234094654</v>
      </c>
      <c r="K24" s="247"/>
      <c r="L24" s="161">
        <v>562.34132519034927</v>
      </c>
      <c r="M24" s="158">
        <v>40.611084620299771</v>
      </c>
      <c r="N24" s="158">
        <v>28.866594485130769</v>
      </c>
      <c r="O24" s="158">
        <v>21.213244820678554</v>
      </c>
      <c r="P24" s="158">
        <v>17.805203780276706</v>
      </c>
      <c r="Q24" s="158">
        <v>15.839320518732341</v>
      </c>
      <c r="R24" s="158">
        <v>14.597479673577801</v>
      </c>
      <c r="S24" s="158">
        <v>13.823470112241399</v>
      </c>
    </row>
    <row r="25" spans="1:19" x14ac:dyDescent="0.35">
      <c r="A25" s="247"/>
      <c r="B25" s="161">
        <v>749.89420933245651</v>
      </c>
      <c r="C25" s="158">
        <v>45.438092549071953</v>
      </c>
      <c r="D25" s="158">
        <v>27.470481727933894</v>
      </c>
      <c r="E25" s="158">
        <v>18.005760436236358</v>
      </c>
      <c r="F25" s="158">
        <v>12.585399137970896</v>
      </c>
      <c r="G25" s="158">
        <v>9.0642909631644848</v>
      </c>
      <c r="H25" s="158">
        <v>6.6479668736899562</v>
      </c>
      <c r="I25" s="158">
        <v>4.9431160792516273</v>
      </c>
      <c r="K25" s="247"/>
      <c r="L25" s="161">
        <v>749.89420933245651</v>
      </c>
      <c r="M25" s="158">
        <v>45.438092549071953</v>
      </c>
      <c r="N25" s="158">
        <v>32.650180768717945</v>
      </c>
      <c r="O25" s="158">
        <v>25.711136466745298</v>
      </c>
      <c r="P25" s="158">
        <v>22.089293624256612</v>
      </c>
      <c r="Q25" s="158">
        <v>19.924736951481233</v>
      </c>
      <c r="R25" s="158">
        <v>18.564296365106376</v>
      </c>
      <c r="S25" s="158">
        <v>17.743284629608329</v>
      </c>
    </row>
    <row r="26" spans="1:19" x14ac:dyDescent="0.35">
      <c r="A26" s="247"/>
      <c r="B26" s="161">
        <v>1000</v>
      </c>
      <c r="C26" s="158">
        <v>52.583448500351878</v>
      </c>
      <c r="D26" s="158">
        <v>33.146230453629428</v>
      </c>
      <c r="E26" s="158">
        <v>22.422686326165032</v>
      </c>
      <c r="F26" s="158">
        <v>15.968059159829517</v>
      </c>
      <c r="G26" s="158">
        <v>11.640905002764718</v>
      </c>
      <c r="H26" s="158">
        <v>8.6165932116630728</v>
      </c>
      <c r="I26" s="158">
        <v>6.4524230299880694</v>
      </c>
      <c r="K26" s="247"/>
      <c r="L26" s="161">
        <v>1000</v>
      </c>
      <c r="M26" s="158">
        <v>52.583448500351878</v>
      </c>
      <c r="N26" s="158">
        <v>39.192492147907728</v>
      </c>
      <c r="O26" s="158">
        <v>31.808645408347143</v>
      </c>
      <c r="P26" s="158">
        <v>27.817702781040772</v>
      </c>
      <c r="Q26" s="158">
        <v>25.374426417915096</v>
      </c>
      <c r="R26" s="158">
        <v>23.854305637010626</v>
      </c>
      <c r="S26" s="158">
        <v>22.97045894835318</v>
      </c>
    </row>
    <row r="27" spans="1:19" x14ac:dyDescent="0.35">
      <c r="A27" s="247"/>
      <c r="B27" s="161">
        <v>1333.5214321633246</v>
      </c>
      <c r="C27" s="158">
        <v>62.562247690513175</v>
      </c>
      <c r="D27" s="158">
        <v>40.823477944778439</v>
      </c>
      <c r="E27" s="158">
        <v>28.354253992561162</v>
      </c>
      <c r="F27" s="158">
        <v>20.482886799760287</v>
      </c>
      <c r="G27" s="158">
        <v>15.077184223037559</v>
      </c>
      <c r="H27" s="158">
        <v>11.24182188511085</v>
      </c>
      <c r="I27" s="158">
        <v>8.4651179574987303</v>
      </c>
      <c r="K27" s="247"/>
      <c r="L27" s="161">
        <v>1333.5214321633246</v>
      </c>
      <c r="M27" s="158">
        <v>62.562247690513175</v>
      </c>
      <c r="N27" s="158">
        <v>48.063297601871362</v>
      </c>
      <c r="O27" s="158">
        <v>40.015440057278383</v>
      </c>
      <c r="P27" s="158">
        <v>35.466446116064091</v>
      </c>
      <c r="Q27" s="158">
        <v>32.642730990491572</v>
      </c>
      <c r="R27" s="158">
        <v>30.908750667751221</v>
      </c>
      <c r="S27" s="158">
        <v>29.941018591182583</v>
      </c>
    </row>
  </sheetData>
  <mergeCells count="2">
    <mergeCell ref="K18:K27"/>
    <mergeCell ref="A18:A27"/>
  </mergeCells>
  <conditionalFormatting sqref="M18:S27 C18:I27">
    <cfRule type="colorScale" priority="1">
      <colorScale>
        <cfvo type="min"/>
        <cfvo type="percentile" val="50"/>
        <cfvo type="max"/>
        <color rgb="FF5A8AC6"/>
        <color rgb="FFFCFCFF"/>
        <color rgb="FFF8696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98DAF-05DF-4EE7-84BE-B5D4F2161FD8}">
  <dimension ref="A1:K30"/>
  <sheetViews>
    <sheetView workbookViewId="0">
      <selection activeCell="C30" sqref="C30"/>
    </sheetView>
  </sheetViews>
  <sheetFormatPr defaultColWidth="8.81640625" defaultRowHeight="14.5" x14ac:dyDescent="0.35"/>
  <sheetData>
    <row r="1" spans="1:11" x14ac:dyDescent="0.35">
      <c r="A1" s="4" t="s">
        <v>150</v>
      </c>
      <c r="B1" s="85" t="s">
        <v>174</v>
      </c>
      <c r="C1" s="85" t="s">
        <v>175</v>
      </c>
      <c r="D1" s="85" t="s">
        <v>176</v>
      </c>
      <c r="E1" s="85" t="s">
        <v>177</v>
      </c>
      <c r="F1" s="4" t="s">
        <v>548</v>
      </c>
      <c r="G1" s="4"/>
      <c r="H1" s="4" t="s">
        <v>178</v>
      </c>
      <c r="I1" s="4" t="s">
        <v>179</v>
      </c>
      <c r="J1" s="4" t="s">
        <v>180</v>
      </c>
      <c r="K1" s="4" t="s">
        <v>181</v>
      </c>
    </row>
    <row r="2" spans="1:11" x14ac:dyDescent="0.35">
      <c r="A2">
        <v>0</v>
      </c>
      <c r="B2" s="84">
        <v>36.990821917808226</v>
      </c>
      <c r="C2" s="84">
        <v>36.990821917808226</v>
      </c>
      <c r="D2" s="84">
        <v>42.218301369863006</v>
      </c>
      <c r="E2" s="84">
        <v>55.548164383561641</v>
      </c>
      <c r="F2" s="84">
        <v>81.629342465753453</v>
      </c>
      <c r="G2" s="84"/>
      <c r="H2" s="6" cm="1">
        <f t="array" ref="H2:H25">(B2:B25-MIN(B2:B25))/(MAX(B2:B25)-MIN(B2:B25))</f>
        <v>0.17581161234358347</v>
      </c>
      <c r="I2" s="6" cm="1">
        <f t="array" ref="I2:I25">(C2:C25-MIN(C2:C25))/(MAX(C2:C25)-MIN(C2:C25))</f>
        <v>0.1745214967671756</v>
      </c>
      <c r="J2" s="6" cm="1">
        <f t="array" ref="J2:J25">(D2:D25-MIN(D2:D25))/(MAX(D2:D25)-MIN(D2:D25))</f>
        <v>8.3349499600154184E-2</v>
      </c>
      <c r="K2" s="6" cm="1">
        <f t="array" ref="K2:K25">(E2:E25-MIN(E2:E25))/(MAX(E2:E25)-MIN(E2:E25))</f>
        <v>0.11415545637816629</v>
      </c>
    </row>
    <row r="3" spans="1:11" x14ac:dyDescent="0.35">
      <c r="A3">
        <v>1</v>
      </c>
      <c r="B3" s="84">
        <v>35.66953424657536</v>
      </c>
      <c r="C3" s="84">
        <v>35.66953424657536</v>
      </c>
      <c r="D3" s="84">
        <v>39.641589041095898</v>
      </c>
      <c r="E3" s="84">
        <v>51.892000000000031</v>
      </c>
      <c r="F3" s="84">
        <v>76.480109589041106</v>
      </c>
      <c r="G3" s="84"/>
      <c r="H3" s="6">
        <v>8.4069836897592246E-2</v>
      </c>
      <c r="I3" s="6">
        <v>8.3452927669345756E-2</v>
      </c>
      <c r="J3" s="6">
        <v>3.2668253116317506E-2</v>
      </c>
      <c r="K3" s="6">
        <v>5.1017004564231472E-2</v>
      </c>
    </row>
    <row r="4" spans="1:11" x14ac:dyDescent="0.35">
      <c r="A4">
        <v>2</v>
      </c>
      <c r="B4" s="84">
        <v>34.670739726027378</v>
      </c>
      <c r="C4" s="84">
        <v>34.670739726027378</v>
      </c>
      <c r="D4" s="84">
        <v>38.161095890410948</v>
      </c>
      <c r="E4" s="84">
        <v>49.407205479452045</v>
      </c>
      <c r="F4" s="84">
        <v>73.568904109589027</v>
      </c>
      <c r="G4" s="84"/>
      <c r="H4" s="6">
        <v>1.4719925734567308E-2</v>
      </c>
      <c r="I4" s="6">
        <v>1.4611910085199279E-2</v>
      </c>
      <c r="J4" s="6">
        <v>3.5484955672094036E-3</v>
      </c>
      <c r="K4" s="6">
        <v>8.1069866753969554E-3</v>
      </c>
    </row>
    <row r="5" spans="1:11" x14ac:dyDescent="0.35">
      <c r="A5">
        <v>3</v>
      </c>
      <c r="B5" s="84">
        <v>34.45873972602741</v>
      </c>
      <c r="C5" s="84">
        <v>34.45873972602741</v>
      </c>
      <c r="D5" s="84">
        <v>37.98068493150685</v>
      </c>
      <c r="E5" s="84">
        <v>48.937753424657551</v>
      </c>
      <c r="F5" s="84">
        <v>71.29528767123287</v>
      </c>
      <c r="G5" s="84"/>
      <c r="H5" s="6">
        <v>0</v>
      </c>
      <c r="I5" s="6">
        <v>0</v>
      </c>
      <c r="J5" s="6">
        <v>0</v>
      </c>
      <c r="K5" s="6">
        <v>0</v>
      </c>
    </row>
    <row r="6" spans="1:11" x14ac:dyDescent="0.35">
      <c r="A6">
        <v>4</v>
      </c>
      <c r="B6" s="84">
        <v>35.411342465753435</v>
      </c>
      <c r="C6" s="84">
        <v>35.411342465753435</v>
      </c>
      <c r="D6" s="84">
        <v>39.863890410958923</v>
      </c>
      <c r="E6" s="84">
        <v>51.194054794520554</v>
      </c>
      <c r="F6" s="84">
        <v>72.421945205479446</v>
      </c>
      <c r="G6" s="84"/>
      <c r="H6" s="6">
        <v>6.6142648977898927E-2</v>
      </c>
      <c r="I6" s="6">
        <v>6.5657290470723037E-2</v>
      </c>
      <c r="J6" s="6">
        <v>3.7040689415837706E-2</v>
      </c>
      <c r="K6" s="6">
        <v>3.8964160353215635E-2</v>
      </c>
    </row>
    <row r="7" spans="1:11" x14ac:dyDescent="0.35">
      <c r="A7">
        <v>5</v>
      </c>
      <c r="B7" s="84">
        <v>37.96043835616436</v>
      </c>
      <c r="C7" s="84">
        <v>37.954273972602714</v>
      </c>
      <c r="D7" s="84">
        <v>46.132794520547925</v>
      </c>
      <c r="E7" s="84">
        <v>57.52586301369864</v>
      </c>
      <c r="F7" s="84">
        <v>78.102794520548017</v>
      </c>
      <c r="G7" s="84"/>
      <c r="H7" s="6">
        <v>0.24313558387009346</v>
      </c>
      <c r="I7" s="6">
        <v>0.2409265665599099</v>
      </c>
      <c r="J7" s="6">
        <v>0.16034350083741225</v>
      </c>
      <c r="K7" s="6">
        <v>0.14830841465947592</v>
      </c>
    </row>
    <row r="8" spans="1:11" x14ac:dyDescent="0.35">
      <c r="A8">
        <v>6</v>
      </c>
      <c r="B8" s="84">
        <v>41.062931506849324</v>
      </c>
      <c r="C8" s="84">
        <v>41.048246575342475</v>
      </c>
      <c r="D8" s="84">
        <v>59.311972602739743</v>
      </c>
      <c r="E8" s="84">
        <v>77.939315068493144</v>
      </c>
      <c r="F8" s="84">
        <v>95.316575342465768</v>
      </c>
      <c r="G8" s="84"/>
      <c r="H8" s="6">
        <v>0.45855288938940175</v>
      </c>
      <c r="I8" s="6">
        <v>0.45417585654722242</v>
      </c>
      <c r="J8" s="6">
        <v>0.41956420055655114</v>
      </c>
      <c r="K8" s="6">
        <v>0.50082915051932542</v>
      </c>
    </row>
    <row r="9" spans="1:11" x14ac:dyDescent="0.35">
      <c r="A9">
        <v>7</v>
      </c>
      <c r="B9" s="84">
        <v>44.892684931506857</v>
      </c>
      <c r="C9" s="84">
        <v>44.950246575342469</v>
      </c>
      <c r="D9" s="84">
        <v>76.736684931506844</v>
      </c>
      <c r="E9" s="84">
        <v>97.677589041095857</v>
      </c>
      <c r="F9" s="84">
        <v>112.38271232876713</v>
      </c>
      <c r="G9" s="84"/>
      <c r="H9" s="6">
        <v>0.7244665025623841</v>
      </c>
      <c r="I9" s="6">
        <v>0.72311771103994016</v>
      </c>
      <c r="J9" s="6">
        <v>0.76229013491288544</v>
      </c>
      <c r="K9" s="6">
        <v>0.84169020854850685</v>
      </c>
    </row>
    <row r="10" spans="1:11" x14ac:dyDescent="0.35">
      <c r="A10">
        <v>8</v>
      </c>
      <c r="B10" s="84">
        <v>48.860986301369898</v>
      </c>
      <c r="C10" s="84">
        <v>48.967452054794556</v>
      </c>
      <c r="D10" s="84">
        <v>88.559260273972512</v>
      </c>
      <c r="E10" s="84">
        <v>106.84484931506842</v>
      </c>
      <c r="F10" s="84">
        <v>118.65364383561646</v>
      </c>
      <c r="G10" s="84"/>
      <c r="H10" s="6">
        <v>1</v>
      </c>
      <c r="I10" s="6">
        <v>1</v>
      </c>
      <c r="J10" s="6">
        <v>0.99482787236839965</v>
      </c>
      <c r="K10" s="6">
        <v>1</v>
      </c>
    </row>
    <row r="11" spans="1:11" x14ac:dyDescent="0.35">
      <c r="A11">
        <v>9</v>
      </c>
      <c r="B11" s="84">
        <v>48.387808219178069</v>
      </c>
      <c r="C11" s="84">
        <v>48.494493150684917</v>
      </c>
      <c r="D11" s="84">
        <v>86.461315068493178</v>
      </c>
      <c r="E11" s="84">
        <v>102.40334246575347</v>
      </c>
      <c r="F11" s="84">
        <v>112.35071232876714</v>
      </c>
      <c r="G11" s="84"/>
      <c r="H11" s="6">
        <v>0.96714553665523695</v>
      </c>
      <c r="I11" s="6">
        <v>0.96740173122242701</v>
      </c>
      <c r="J11" s="6">
        <v>0.95356347630779792</v>
      </c>
      <c r="K11" s="6">
        <v>0.92329943712389762</v>
      </c>
    </row>
    <row r="12" spans="1:11" x14ac:dyDescent="0.35">
      <c r="A12">
        <v>10</v>
      </c>
      <c r="B12" s="84">
        <v>47.398794520547959</v>
      </c>
      <c r="C12" s="84">
        <v>47.481013698630143</v>
      </c>
      <c r="D12" s="84">
        <v>83.152383561643873</v>
      </c>
      <c r="E12" s="84">
        <v>96.26326027397262</v>
      </c>
      <c r="F12" s="84">
        <v>104.57049315068494</v>
      </c>
      <c r="G12" s="84"/>
      <c r="H12" s="6">
        <v>0.89847474328586352</v>
      </c>
      <c r="I12" s="6">
        <v>0.8975485678892966</v>
      </c>
      <c r="J12" s="6">
        <v>0.88848024158869232</v>
      </c>
      <c r="K12" s="6">
        <v>0.81726610740207994</v>
      </c>
    </row>
    <row r="13" spans="1:11" x14ac:dyDescent="0.35">
      <c r="A13">
        <v>11</v>
      </c>
      <c r="B13" s="84">
        <v>46.065780821917812</v>
      </c>
      <c r="C13" s="84">
        <v>46.157452054794526</v>
      </c>
      <c r="D13" s="84">
        <v>79.696958904109593</v>
      </c>
      <c r="E13" s="84">
        <v>92.132027397260316</v>
      </c>
      <c r="F13" s="84">
        <v>100.4074520547945</v>
      </c>
      <c r="G13" s="84"/>
      <c r="H13" s="6">
        <v>0.80591878740378975</v>
      </c>
      <c r="I13" s="6">
        <v>0.80632326726690251</v>
      </c>
      <c r="J13" s="6">
        <v>0.82051563924652293</v>
      </c>
      <c r="K13" s="6">
        <v>0.7459236784097738</v>
      </c>
    </row>
    <row r="14" spans="1:11" x14ac:dyDescent="0.35">
      <c r="A14">
        <v>12</v>
      </c>
      <c r="B14" s="84">
        <v>45.407835616438355</v>
      </c>
      <c r="C14" s="84">
        <v>45.456027397260286</v>
      </c>
      <c r="D14" s="84">
        <v>76.134191780821894</v>
      </c>
      <c r="E14" s="84">
        <v>87.451452054794501</v>
      </c>
      <c r="F14" s="84">
        <v>95.088602739726056</v>
      </c>
      <c r="G14" s="84"/>
      <c r="H14" s="6">
        <v>0.76023527531853641</v>
      </c>
      <c r="I14" s="6">
        <v>0.7579782010997631</v>
      </c>
      <c r="J14" s="6">
        <v>0.75043972245753088</v>
      </c>
      <c r="K14" s="6">
        <v>0.6650946319778166</v>
      </c>
    </row>
    <row r="15" spans="1:11" x14ac:dyDescent="0.35">
      <c r="A15">
        <v>13</v>
      </c>
      <c r="B15" s="84">
        <v>44.828410958904094</v>
      </c>
      <c r="C15" s="84">
        <v>44.886958904109576</v>
      </c>
      <c r="D15" s="84">
        <v>72.996493150684898</v>
      </c>
      <c r="E15" s="84">
        <v>82.58824657534241</v>
      </c>
      <c r="F15" s="84">
        <v>89.02457534246571</v>
      </c>
      <c r="G15" s="84"/>
      <c r="H15" s="6">
        <v>0.7200037284898444</v>
      </c>
      <c r="I15" s="6">
        <v>0.71875566499486088</v>
      </c>
      <c r="J15" s="6">
        <v>0.68872445999280019</v>
      </c>
      <c r="K15" s="6">
        <v>0.58111173826379403</v>
      </c>
    </row>
    <row r="16" spans="1:11" x14ac:dyDescent="0.35">
      <c r="A16">
        <v>14</v>
      </c>
      <c r="B16" s="84">
        <v>44.197808219178057</v>
      </c>
      <c r="C16" s="84">
        <v>44.306082191780803</v>
      </c>
      <c r="D16" s="84">
        <v>72.177369863013666</v>
      </c>
      <c r="E16" s="84">
        <v>80.996191780821903</v>
      </c>
      <c r="F16" s="84">
        <v>87.591397260273979</v>
      </c>
      <c r="G16" s="84"/>
      <c r="H16" s="6">
        <v>0.67621870256162098</v>
      </c>
      <c r="I16" s="6">
        <v>0.6787192579612028</v>
      </c>
      <c r="J16" s="6">
        <v>0.67261315847899095</v>
      </c>
      <c r="K16" s="6">
        <v>0.55361847910375128</v>
      </c>
    </row>
    <row r="17" spans="1:11" x14ac:dyDescent="0.35">
      <c r="A17">
        <v>15</v>
      </c>
      <c r="B17" s="84">
        <v>44.736520547945226</v>
      </c>
      <c r="C17" s="84">
        <v>44.84860273972604</v>
      </c>
      <c r="D17" s="84">
        <v>75.01367123287676</v>
      </c>
      <c r="E17" s="84">
        <v>83.689452054794501</v>
      </c>
      <c r="F17" s="84">
        <v>91.399452054794494</v>
      </c>
      <c r="G17" s="84"/>
      <c r="H17" s="6">
        <v>0.71362344535289335</v>
      </c>
      <c r="I17" s="6">
        <v>0.71611200072511816</v>
      </c>
      <c r="J17" s="6">
        <v>0.72840025090046223</v>
      </c>
      <c r="K17" s="6">
        <v>0.60012850058833056</v>
      </c>
    </row>
    <row r="18" spans="1:11" x14ac:dyDescent="0.35">
      <c r="A18">
        <v>16</v>
      </c>
      <c r="B18" s="84">
        <v>45.393479452054791</v>
      </c>
      <c r="C18" s="84">
        <v>45.502328767123295</v>
      </c>
      <c r="D18" s="84">
        <v>80.737561643835662</v>
      </c>
      <c r="E18" s="84">
        <v>90.401397260273981</v>
      </c>
      <c r="F18" s="84">
        <v>98.663095890410915</v>
      </c>
      <c r="G18" s="84"/>
      <c r="H18" s="6">
        <v>0.75923847497155839</v>
      </c>
      <c r="I18" s="6">
        <v>0.76116948153966846</v>
      </c>
      <c r="J18" s="6">
        <v>0.84098321079303195</v>
      </c>
      <c r="K18" s="6">
        <v>0.71603735601050245</v>
      </c>
    </row>
    <row r="19" spans="1:11" x14ac:dyDescent="0.35">
      <c r="A19">
        <v>17</v>
      </c>
      <c r="B19" s="84">
        <v>46.653452054794556</v>
      </c>
      <c r="C19" s="84">
        <v>46.769753424657559</v>
      </c>
      <c r="D19" s="84">
        <v>88.203369863013663</v>
      </c>
      <c r="E19" s="84">
        <v>101.35901369863012</v>
      </c>
      <c r="F19" s="84">
        <v>114.4706301369864</v>
      </c>
      <c r="G19" s="84"/>
      <c r="H19" s="6">
        <v>0.84672292374477376</v>
      </c>
      <c r="I19" s="6">
        <v>0.84852559067013056</v>
      </c>
      <c r="J19" s="6">
        <v>0.98782787883490752</v>
      </c>
      <c r="K19" s="6">
        <v>0.90526488106362246</v>
      </c>
    </row>
    <row r="20" spans="1:11" x14ac:dyDescent="0.35">
      <c r="A20">
        <v>18</v>
      </c>
      <c r="B20" s="84">
        <v>46.399123287671244</v>
      </c>
      <c r="C20" s="84">
        <v>46.525726027397276</v>
      </c>
      <c r="D20" s="84">
        <v>88.822219178082179</v>
      </c>
      <c r="E20" s="84">
        <v>105.75846575342469</v>
      </c>
      <c r="F20" s="84">
        <v>123.19824657534242</v>
      </c>
      <c r="G20" s="84"/>
      <c r="H20" s="6">
        <v>0.82906395881920869</v>
      </c>
      <c r="I20" s="6">
        <v>0.83170622091969193</v>
      </c>
      <c r="J20" s="6">
        <v>1</v>
      </c>
      <c r="K20" s="6">
        <v>0.98123919797843584</v>
      </c>
    </row>
    <row r="21" spans="1:11" x14ac:dyDescent="0.35">
      <c r="A21">
        <v>19</v>
      </c>
      <c r="B21" s="84">
        <v>46.100054794520531</v>
      </c>
      <c r="C21" s="84">
        <v>46.233698630136963</v>
      </c>
      <c r="D21" s="84">
        <v>81.402821917808254</v>
      </c>
      <c r="E21" s="84">
        <v>104.41386301369869</v>
      </c>
      <c r="F21" s="84">
        <v>125.25539726027404</v>
      </c>
      <c r="G21" s="84"/>
      <c r="H21" s="6">
        <v>0.80829855311766097</v>
      </c>
      <c r="I21" s="6">
        <v>0.81157849416882821</v>
      </c>
      <c r="J21" s="6">
        <v>0.85406818715794963</v>
      </c>
      <c r="K21" s="6">
        <v>0.95801919844209826</v>
      </c>
    </row>
    <row r="22" spans="1:11" x14ac:dyDescent="0.35">
      <c r="A22">
        <v>20</v>
      </c>
      <c r="B22" s="84">
        <v>43.722219178082163</v>
      </c>
      <c r="C22" s="84">
        <v>43.854684931506824</v>
      </c>
      <c r="D22" s="84">
        <v>69.086630136986273</v>
      </c>
      <c r="E22" s="84">
        <v>93.118958904109562</v>
      </c>
      <c r="F22" s="84">
        <v>115.93893150684927</v>
      </c>
      <c r="G22" s="84"/>
      <c r="H22" s="6">
        <v>0.64319683763187241</v>
      </c>
      <c r="I22" s="6">
        <v>0.64760710616955341</v>
      </c>
      <c r="J22" s="6">
        <v>0.61182152872530027</v>
      </c>
      <c r="K22" s="6">
        <v>0.76296703884209471</v>
      </c>
    </row>
    <row r="23" spans="1:11" x14ac:dyDescent="0.35">
      <c r="A23">
        <v>21</v>
      </c>
      <c r="B23" s="84">
        <v>42.445506849315059</v>
      </c>
      <c r="C23" s="84">
        <v>42.546383561643829</v>
      </c>
      <c r="D23" s="84">
        <v>62.240684931506863</v>
      </c>
      <c r="E23" s="84">
        <v>82.950630136986305</v>
      </c>
      <c r="F23" s="84">
        <v>103.79295890410962</v>
      </c>
      <c r="G23" s="84"/>
      <c r="H23" s="6">
        <v>0.55455008921743321</v>
      </c>
      <c r="I23" s="6">
        <v>0.55743360626019478</v>
      </c>
      <c r="J23" s="6">
        <v>0.47716892024426188</v>
      </c>
      <c r="K23" s="6">
        <v>0.58736975476542808</v>
      </c>
    </row>
    <row r="24" spans="1:11" x14ac:dyDescent="0.35">
      <c r="A24">
        <v>22</v>
      </c>
      <c r="B24" s="84">
        <v>40.656273972602719</v>
      </c>
      <c r="C24" s="84">
        <v>40.672547945205459</v>
      </c>
      <c r="D24" s="84">
        <v>54.602136986301339</v>
      </c>
      <c r="E24" s="84">
        <v>72.352383561643819</v>
      </c>
      <c r="F24" s="84">
        <v>97.941999999999965</v>
      </c>
      <c r="G24" s="84"/>
      <c r="H24" s="6">
        <v>0.43031718795773571</v>
      </c>
      <c r="I24" s="6">
        <v>0.42828116502507402</v>
      </c>
      <c r="J24" s="6">
        <v>0.32692664179217024</v>
      </c>
      <c r="K24" s="6">
        <v>0.40434820252941778</v>
      </c>
    </row>
    <row r="25" spans="1:11" x14ac:dyDescent="0.35">
      <c r="A25">
        <v>23</v>
      </c>
      <c r="B25" s="84">
        <v>37.442136986301357</v>
      </c>
      <c r="C25" s="84">
        <v>37.43553424657533</v>
      </c>
      <c r="D25" s="84">
        <v>44.660493150684928</v>
      </c>
      <c r="E25" s="84">
        <v>59.560767123287661</v>
      </c>
      <c r="F25" s="84">
        <v>84.852767123287705</v>
      </c>
      <c r="G25" s="84"/>
      <c r="H25" s="6">
        <v>0.20714804767901293</v>
      </c>
      <c r="I25" s="6">
        <v>0.20517289564323918</v>
      </c>
      <c r="J25" s="6">
        <v>0.13138486708095415</v>
      </c>
      <c r="K25" s="6">
        <v>0.18344925669790377</v>
      </c>
    </row>
    <row r="26" spans="1:11" x14ac:dyDescent="0.35">
      <c r="A26" t="s">
        <v>182</v>
      </c>
      <c r="B26" s="86">
        <f>MIN(B2:B25)</f>
        <v>34.45873972602741</v>
      </c>
      <c r="C26" s="86">
        <f>MIN(C2:C25)</f>
        <v>34.45873972602741</v>
      </c>
      <c r="D26" s="86">
        <f>MIN(D2:D25)</f>
        <v>37.98068493150685</v>
      </c>
      <c r="E26" s="86">
        <f>MIN(E2:E25)</f>
        <v>48.937753424657551</v>
      </c>
      <c r="F26" s="86">
        <f>MIN(F2:F25)</f>
        <v>71.29528767123287</v>
      </c>
      <c r="H26" s="42">
        <f>AVERAGE(_xlfn.ANCHORARRAY(H2))</f>
        <v>0.55779397049927348</v>
      </c>
      <c r="I26" s="42">
        <f>AVERAGE(_xlfn.ANCHORARRAY(I2))</f>
        <v>0.55794904211231122</v>
      </c>
      <c r="J26" s="42">
        <f>AVERAGE(_xlfn.ANCHORARRAY(J2))</f>
        <v>0.55110628458233923</v>
      </c>
      <c r="K26" s="42">
        <f>AVERAGE(_xlfn.ANCHORARRAY(K2))</f>
        <v>0.5453420350373861</v>
      </c>
    </row>
    <row r="27" spans="1:11" x14ac:dyDescent="0.35">
      <c r="A27" t="s">
        <v>183</v>
      </c>
      <c r="B27" s="86">
        <f>MAX(B2:B25)</f>
        <v>48.860986301369898</v>
      </c>
      <c r="C27" s="86">
        <f>MAX(C2:C25)</f>
        <v>48.967452054794556</v>
      </c>
      <c r="D27" s="86">
        <f>MAX(D2:D25)</f>
        <v>88.822219178082179</v>
      </c>
      <c r="E27" s="86">
        <f>MAX(E2:E25)</f>
        <v>106.84484931506842</v>
      </c>
      <c r="F27" s="86">
        <f>MAX(F2:F25)</f>
        <v>125.25539726027404</v>
      </c>
    </row>
    <row r="28" spans="1:11" x14ac:dyDescent="0.35">
      <c r="A28" t="s">
        <v>184</v>
      </c>
      <c r="B28" s="86">
        <f>AVERAGE(B2:B25)</f>
        <v>42.492226027397251</v>
      </c>
      <c r="C28" s="86">
        <f>AVERAGE(C2:C25)</f>
        <v>42.553861872146115</v>
      </c>
      <c r="D28" s="86">
        <f>AVERAGE(D2:D25)</f>
        <v>65.999773972602739</v>
      </c>
      <c r="E28" s="86">
        <f>AVERAGE(E2:E25)</f>
        <v>80.516926940639266</v>
      </c>
      <c r="F28" s="86">
        <f>AVERAGE(F2:F25)</f>
        <v>96.849917808219189</v>
      </c>
    </row>
    <row r="30" spans="1:11" x14ac:dyDescent="0.35">
      <c r="B30" t="s">
        <v>185</v>
      </c>
    </row>
  </sheetData>
  <conditionalFormatting sqref="B2:G25">
    <cfRule type="dataBar" priority="2">
      <dataBar>
        <cfvo type="min"/>
        <cfvo type="max"/>
        <color rgb="FF638EC6"/>
      </dataBar>
      <extLst>
        <ext xmlns:x14="http://schemas.microsoft.com/office/spreadsheetml/2009/9/main" uri="{B025F937-C7B1-47D3-B67F-A62EFF666E3E}">
          <x14:id>{1DC0A4C7-2285-4B31-8BE3-4F04CBF256F4}</x14:id>
        </ext>
      </extLst>
    </cfRule>
  </conditionalFormatting>
  <conditionalFormatting sqref="H2:K25">
    <cfRule type="dataBar" priority="1">
      <dataBar>
        <cfvo type="min"/>
        <cfvo type="max"/>
        <color rgb="FF638EC6"/>
      </dataBar>
      <extLst>
        <ext xmlns:x14="http://schemas.microsoft.com/office/spreadsheetml/2009/9/main" uri="{B025F937-C7B1-47D3-B67F-A62EFF666E3E}">
          <x14:id>{6D498BDB-4681-44F5-AEB1-373F82F0E550}</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1DC0A4C7-2285-4B31-8BE3-4F04CBF256F4}">
            <x14:dataBar minLength="0" maxLength="100" gradient="0">
              <x14:cfvo type="autoMin"/>
              <x14:cfvo type="autoMax"/>
              <x14:negativeFillColor rgb="FFFF0000"/>
              <x14:axisColor rgb="FF000000"/>
            </x14:dataBar>
          </x14:cfRule>
          <xm:sqref>B2:G25</xm:sqref>
        </x14:conditionalFormatting>
        <x14:conditionalFormatting xmlns:xm="http://schemas.microsoft.com/office/excel/2006/main">
          <x14:cfRule type="dataBar" id="{6D498BDB-4681-44F5-AEB1-373F82F0E550}">
            <x14:dataBar minLength="0" maxLength="100" gradient="0">
              <x14:cfvo type="autoMin"/>
              <x14:cfvo type="autoMax"/>
              <x14:negativeFillColor rgb="FFFF0000"/>
              <x14:axisColor rgb="FF000000"/>
            </x14:dataBar>
          </x14:cfRule>
          <xm:sqref>H2:K25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CCAE2-4D24-4D0A-B5AF-C6B0F86433F9}">
  <dimension ref="A1:AD117"/>
  <sheetViews>
    <sheetView showGridLines="0" tabSelected="1" zoomScaleNormal="100" workbookViewId="0">
      <selection activeCell="R21" sqref="R21"/>
    </sheetView>
  </sheetViews>
  <sheetFormatPr defaultColWidth="8.81640625" defaultRowHeight="14.5" x14ac:dyDescent="0.35"/>
  <cols>
    <col min="1" max="1" width="12.36328125" bestFit="1" customWidth="1"/>
    <col min="2" max="2" width="15.1796875" bestFit="1" customWidth="1"/>
    <col min="3" max="3" width="25.1796875" customWidth="1"/>
    <col min="4" max="4" width="16.1796875" customWidth="1"/>
    <col min="5" max="11" width="8.6328125" customWidth="1"/>
    <col min="12" max="12" width="10.81640625" bestFit="1" customWidth="1"/>
    <col min="14" max="14" width="9.81640625" bestFit="1" customWidth="1"/>
    <col min="17" max="17" width="8.54296875" customWidth="1"/>
    <col min="18" max="18" width="9.7265625" bestFit="1" customWidth="1"/>
    <col min="25" max="25" width="10.7265625" bestFit="1" customWidth="1"/>
    <col min="28" max="28" width="12.453125" bestFit="1" customWidth="1"/>
  </cols>
  <sheetData>
    <row r="1" spans="1:30" x14ac:dyDescent="0.35">
      <c r="A1" s="4" t="s">
        <v>80</v>
      </c>
      <c r="B1" s="4" t="s">
        <v>82</v>
      </c>
      <c r="C1" s="4" t="s">
        <v>81</v>
      </c>
      <c r="D1" s="4" t="s">
        <v>83</v>
      </c>
      <c r="E1" s="4">
        <v>2020</v>
      </c>
      <c r="F1" s="4">
        <v>2025</v>
      </c>
      <c r="G1" s="4">
        <v>2030</v>
      </c>
      <c r="H1" s="4">
        <v>2035</v>
      </c>
      <c r="I1" s="4">
        <v>2040</v>
      </c>
      <c r="J1" s="4">
        <v>2045</v>
      </c>
      <c r="K1" s="4">
        <v>2050</v>
      </c>
      <c r="L1" t="s">
        <v>0</v>
      </c>
      <c r="M1" t="s">
        <v>76</v>
      </c>
      <c r="N1" t="s">
        <v>97</v>
      </c>
    </row>
    <row r="2" spans="1:30" x14ac:dyDescent="0.35">
      <c r="A2" t="s">
        <v>192</v>
      </c>
      <c r="B2" t="s">
        <v>189</v>
      </c>
      <c r="C2" t="s">
        <v>132</v>
      </c>
      <c r="D2" t="s">
        <v>92</v>
      </c>
      <c r="E2">
        <v>1500000</v>
      </c>
      <c r="F2" s="76" cm="1">
        <f t="array" ref="F2:K2">E2*POWER(1+$L2,F$1:K$1-$E$1)</f>
        <v>1426485.07485</v>
      </c>
      <c r="G2" s="76">
        <v>1356573.1125132064</v>
      </c>
      <c r="H2" s="76">
        <v>1290087.5319619325</v>
      </c>
      <c r="I2" s="76">
        <v>1226860.406395846</v>
      </c>
      <c r="J2" s="76">
        <v>1166732.0390987196</v>
      </c>
      <c r="K2" s="77">
        <v>1109550.5600824202</v>
      </c>
      <c r="L2" s="9">
        <v>-0.01</v>
      </c>
      <c r="M2" t="s">
        <v>614</v>
      </c>
      <c r="N2" t="s">
        <v>649</v>
      </c>
      <c r="T2" t="s">
        <v>37</v>
      </c>
      <c r="U2" s="23">
        <v>3000</v>
      </c>
      <c r="V2" s="23">
        <v>3000</v>
      </c>
      <c r="W2" s="23">
        <v>3000</v>
      </c>
      <c r="X2" s="23">
        <v>3000</v>
      </c>
      <c r="Y2" s="23">
        <v>3000</v>
      </c>
      <c r="Z2" s="23">
        <v>3000</v>
      </c>
      <c r="AA2" s="23">
        <v>3000</v>
      </c>
    </row>
    <row r="3" spans="1:30" x14ac:dyDescent="0.35">
      <c r="A3" t="s">
        <v>192</v>
      </c>
      <c r="B3" t="s">
        <v>189</v>
      </c>
      <c r="C3" t="s">
        <v>133</v>
      </c>
      <c r="D3" t="s">
        <v>134</v>
      </c>
      <c r="E3">
        <v>700</v>
      </c>
      <c r="F3" s="76" cm="1">
        <f t="array" ref="F3:K3">E3*POWER(1+$L3,F$1:K$1-$E$1)</f>
        <v>665.69303492999995</v>
      </c>
      <c r="G3" s="76">
        <v>633.06745250616302</v>
      </c>
      <c r="H3" s="76">
        <v>602.04084824890185</v>
      </c>
      <c r="I3" s="76">
        <v>572.53485631806143</v>
      </c>
      <c r="J3" s="76">
        <v>544.4749515794025</v>
      </c>
      <c r="K3" s="77">
        <v>517.79026137179608</v>
      </c>
      <c r="L3" s="9">
        <v>-0.01</v>
      </c>
      <c r="M3" t="s">
        <v>614</v>
      </c>
      <c r="N3" t="s">
        <v>650</v>
      </c>
    </row>
    <row r="4" spans="1:30" x14ac:dyDescent="0.35">
      <c r="A4" t="s">
        <v>192</v>
      </c>
      <c r="B4" t="s">
        <v>189</v>
      </c>
      <c r="C4" t="s">
        <v>136</v>
      </c>
      <c r="D4" t="s">
        <v>35</v>
      </c>
      <c r="E4" s="42">
        <v>0.02</v>
      </c>
      <c r="F4" s="71" cm="1">
        <f t="array" ref="F4:K4">E4*POWER(1+$L4,F$1:K$1-$E$1)</f>
        <v>0.02</v>
      </c>
      <c r="G4" s="71">
        <v>0.02</v>
      </c>
      <c r="H4" s="71">
        <v>0.02</v>
      </c>
      <c r="I4" s="71">
        <v>0.02</v>
      </c>
      <c r="J4" s="71">
        <v>0.02</v>
      </c>
      <c r="K4" s="72">
        <v>0.02</v>
      </c>
      <c r="L4" s="9">
        <v>0</v>
      </c>
      <c r="M4" t="s">
        <v>614</v>
      </c>
      <c r="U4" cm="1">
        <f t="array" ref="U4:AA4">E1:K1</f>
        <v>2020</v>
      </c>
      <c r="V4">
        <v>2025</v>
      </c>
      <c r="W4">
        <v>2030</v>
      </c>
      <c r="X4">
        <v>2035</v>
      </c>
      <c r="Y4">
        <v>2040</v>
      </c>
      <c r="Z4">
        <v>2045</v>
      </c>
      <c r="AA4">
        <v>2050</v>
      </c>
    </row>
    <row r="5" spans="1:30" x14ac:dyDescent="0.35">
      <c r="A5" t="s">
        <v>192</v>
      </c>
      <c r="B5" t="s">
        <v>189</v>
      </c>
      <c r="C5" t="s">
        <v>135</v>
      </c>
      <c r="D5" t="s">
        <v>4</v>
      </c>
      <c r="E5">
        <v>25</v>
      </c>
      <c r="F5" s="69" cm="1">
        <f t="array" ref="F5:K5">E5*POWER(1+$L5,F$1:K$1-$E$1)</f>
        <v>25</v>
      </c>
      <c r="G5" s="69">
        <v>25</v>
      </c>
      <c r="H5" s="69">
        <v>25</v>
      </c>
      <c r="I5" s="69">
        <v>25</v>
      </c>
      <c r="J5" s="69">
        <v>25</v>
      </c>
      <c r="K5" s="70">
        <v>25</v>
      </c>
      <c r="L5" s="9">
        <v>0</v>
      </c>
      <c r="M5" t="s">
        <v>614</v>
      </c>
      <c r="T5" t="s">
        <v>602</v>
      </c>
      <c r="U5" s="23">
        <f>E2</f>
        <v>1500000</v>
      </c>
      <c r="V5" s="23">
        <f t="shared" ref="V5:AA5" si="0">F2</f>
        <v>1426485.07485</v>
      </c>
      <c r="W5" s="23">
        <f t="shared" si="0"/>
        <v>1356573.1125132064</v>
      </c>
      <c r="X5" s="23">
        <f t="shared" si="0"/>
        <v>1290087.5319619325</v>
      </c>
      <c r="Y5" s="23">
        <f t="shared" si="0"/>
        <v>1226860.406395846</v>
      </c>
      <c r="Z5" s="23">
        <f t="shared" si="0"/>
        <v>1166732.0390987196</v>
      </c>
      <c r="AA5" s="23">
        <f t="shared" si="0"/>
        <v>1109550.5600824202</v>
      </c>
      <c r="AD5">
        <v>3000000</v>
      </c>
    </row>
    <row r="6" spans="1:30" x14ac:dyDescent="0.35">
      <c r="A6" t="s">
        <v>192</v>
      </c>
      <c r="B6" t="s">
        <v>189</v>
      </c>
      <c r="C6" t="s">
        <v>146</v>
      </c>
      <c r="D6" t="s">
        <v>2</v>
      </c>
      <c r="E6" s="36" cm="1">
        <f t="array" ref="E6:K6">E24:K24</f>
        <v>0.1</v>
      </c>
      <c r="F6" s="71">
        <v>0.1</v>
      </c>
      <c r="G6" s="71">
        <v>0.1</v>
      </c>
      <c r="H6" s="71">
        <v>0.1</v>
      </c>
      <c r="I6" s="71">
        <v>0.1</v>
      </c>
      <c r="J6" s="71">
        <v>0.1</v>
      </c>
      <c r="K6" s="72">
        <v>0.1</v>
      </c>
      <c r="L6" s="9"/>
      <c r="M6" t="s">
        <v>329</v>
      </c>
      <c r="T6" t="s">
        <v>603</v>
      </c>
      <c r="U6">
        <f>U2*E3</f>
        <v>2100000</v>
      </c>
      <c r="V6">
        <f t="shared" ref="V6:AA6" si="1">V2*F3</f>
        <v>1997079.1047899998</v>
      </c>
      <c r="W6">
        <f t="shared" si="1"/>
        <v>1899202.357518489</v>
      </c>
      <c r="X6">
        <f t="shared" si="1"/>
        <v>1806122.5447467056</v>
      </c>
      <c r="Y6">
        <f t="shared" si="1"/>
        <v>1717604.5689541842</v>
      </c>
      <c r="Z6">
        <f t="shared" si="1"/>
        <v>1633424.8547382075</v>
      </c>
      <c r="AA6">
        <f t="shared" si="1"/>
        <v>1553370.7841153883</v>
      </c>
      <c r="AD6">
        <v>1500000</v>
      </c>
    </row>
    <row r="7" spans="1:30" x14ac:dyDescent="0.35">
      <c r="A7" t="s">
        <v>192</v>
      </c>
      <c r="B7" t="s">
        <v>189</v>
      </c>
      <c r="C7" t="s">
        <v>241</v>
      </c>
      <c r="D7" t="s">
        <v>33</v>
      </c>
      <c r="E7">
        <v>500</v>
      </c>
      <c r="F7" s="76" cm="1">
        <f t="array" ref="F7:K7">E7*POWER(1+$L7,F$1:K$1-$E$1)</f>
        <v>451.96039839999992</v>
      </c>
      <c r="G7" s="76">
        <v>408.53640344377328</v>
      </c>
      <c r="H7" s="76">
        <v>369.28455132270176</v>
      </c>
      <c r="I7" s="76">
        <v>333.80398587754706</v>
      </c>
      <c r="J7" s="76">
        <v>301.73236488944821</v>
      </c>
      <c r="K7" s="77">
        <v>272.74215969121832</v>
      </c>
      <c r="L7" s="9">
        <v>-0.02</v>
      </c>
      <c r="M7" t="s">
        <v>614</v>
      </c>
      <c r="T7" t="s">
        <v>600</v>
      </c>
      <c r="U7" s="23">
        <f t="shared" ref="U7:AA7" si="2">(E44+E45*U2*E18+E17)/E18</f>
        <v>901500</v>
      </c>
      <c r="V7" s="23">
        <f t="shared" si="2"/>
        <v>901500</v>
      </c>
      <c r="W7" s="23">
        <f t="shared" si="2"/>
        <v>901500</v>
      </c>
      <c r="X7" s="23">
        <f t="shared" si="2"/>
        <v>901500</v>
      </c>
      <c r="Y7" s="23">
        <f t="shared" si="2"/>
        <v>901500</v>
      </c>
      <c r="Z7" s="23">
        <f t="shared" si="2"/>
        <v>901500</v>
      </c>
      <c r="AA7" s="23">
        <f t="shared" si="2"/>
        <v>901500</v>
      </c>
      <c r="AC7">
        <v>1500</v>
      </c>
      <c r="AD7">
        <f>(AD5-AD6)/AC7</f>
        <v>1000</v>
      </c>
    </row>
    <row r="8" spans="1:30" x14ac:dyDescent="0.35">
      <c r="A8" t="s">
        <v>192</v>
      </c>
      <c r="B8" t="s">
        <v>189</v>
      </c>
      <c r="C8" t="s">
        <v>240</v>
      </c>
      <c r="D8" t="s">
        <v>33</v>
      </c>
      <c r="E8">
        <v>2000</v>
      </c>
      <c r="F8" s="76" cm="1">
        <f t="array" ref="F8:K8">E8*POWER(1+$L8,F$1:K$1-$E$1)</f>
        <v>1807.8415935999997</v>
      </c>
      <c r="G8" s="76">
        <v>1634.1456137750931</v>
      </c>
      <c r="H8" s="76">
        <v>1477.138205290807</v>
      </c>
      <c r="I8" s="76">
        <v>1335.2159435101883</v>
      </c>
      <c r="J8" s="76">
        <v>1206.9294595577928</v>
      </c>
      <c r="K8" s="77">
        <v>1090.9686387648733</v>
      </c>
      <c r="L8" s="9">
        <v>-0.02</v>
      </c>
      <c r="M8" t="s">
        <v>614</v>
      </c>
      <c r="T8" t="s">
        <v>411</v>
      </c>
      <c r="U8" s="23">
        <f>(U7+U5)*(world!E2/2)*infra!E5</f>
        <v>600375</v>
      </c>
      <c r="V8" s="23">
        <f>(V7+V5)*(world!F2/2)*infra!F5</f>
        <v>581996.26871249999</v>
      </c>
      <c r="W8" s="23">
        <f>(W7+W5)*(world!G2/2)*infra!G5</f>
        <v>564518.27812830161</v>
      </c>
      <c r="X8" s="23">
        <f>(X7+X5)*(world!H2/2)*infra!H5</f>
        <v>547896.88299048319</v>
      </c>
      <c r="Y8" s="23">
        <f>(Y7+Y5)*(world!I2/2)*infra!I5</f>
        <v>532090.10159896151</v>
      </c>
      <c r="Z8" s="23">
        <f>(Z7+Z5)*(world!J2/2)*infra!J5</f>
        <v>517058.0097746799</v>
      </c>
      <c r="AA8" s="23">
        <f>(AA7+AA5)*(world!K2/2)*infra!K5</f>
        <v>502762.64002060506</v>
      </c>
    </row>
    <row r="9" spans="1:30" x14ac:dyDescent="0.35">
      <c r="A9" t="s">
        <v>192</v>
      </c>
      <c r="B9" t="s">
        <v>189</v>
      </c>
      <c r="C9" t="s">
        <v>137</v>
      </c>
      <c r="D9" t="s">
        <v>138</v>
      </c>
      <c r="E9">
        <v>50</v>
      </c>
      <c r="F9" s="76" cm="1">
        <f t="array" ref="F9:K9">E9*POWER(1+$L9,F$1:K$1-$E$1)</f>
        <v>45.19603983999999</v>
      </c>
      <c r="G9" s="76">
        <v>40.853640344377325</v>
      </c>
      <c r="H9" s="76">
        <v>36.92845513227018</v>
      </c>
      <c r="I9" s="76">
        <v>33.380398587754705</v>
      </c>
      <c r="J9" s="76">
        <v>30.17323648894482</v>
      </c>
      <c r="K9" s="77">
        <v>27.274215969121833</v>
      </c>
      <c r="L9" s="9">
        <v>-0.02</v>
      </c>
      <c r="M9" t="s">
        <v>614</v>
      </c>
      <c r="T9" t="s">
        <v>604</v>
      </c>
      <c r="U9" s="23">
        <f>E4*E5*(U5+U6)</f>
        <v>1800000</v>
      </c>
      <c r="V9" s="23">
        <f t="shared" ref="V9:AA9" si="3">F4*F5*(V5+V6)</f>
        <v>1711782.0898199999</v>
      </c>
      <c r="W9" s="23">
        <f t="shared" si="3"/>
        <v>1627887.7350158477</v>
      </c>
      <c r="X9" s="23">
        <f t="shared" si="3"/>
        <v>1548105.0383543191</v>
      </c>
      <c r="Y9" s="23">
        <f t="shared" si="3"/>
        <v>1472232.4876750151</v>
      </c>
      <c r="Z9" s="23">
        <f t="shared" si="3"/>
        <v>1400078.4469184636</v>
      </c>
      <c r="AA9" s="23">
        <f t="shared" si="3"/>
        <v>1331460.6720989044</v>
      </c>
    </row>
    <row r="10" spans="1:30" x14ac:dyDescent="0.35">
      <c r="A10" t="s">
        <v>192</v>
      </c>
      <c r="B10" t="s">
        <v>189</v>
      </c>
      <c r="C10" t="s">
        <v>139</v>
      </c>
      <c r="D10" t="s">
        <v>4</v>
      </c>
      <c r="E10">
        <v>10</v>
      </c>
      <c r="F10" s="69" cm="1">
        <f t="array" ref="F10:K10">E10*POWER(1+$L10,F$1:K$1-$E$1)</f>
        <v>10</v>
      </c>
      <c r="G10" s="69">
        <v>10</v>
      </c>
      <c r="H10" s="69">
        <v>10</v>
      </c>
      <c r="I10" s="69">
        <v>10</v>
      </c>
      <c r="J10" s="69">
        <v>10</v>
      </c>
      <c r="K10" s="70">
        <v>10</v>
      </c>
      <c r="L10" s="9">
        <v>0</v>
      </c>
      <c r="M10" t="s">
        <v>614</v>
      </c>
      <c r="T10" t="s">
        <v>601</v>
      </c>
      <c r="U10" s="23">
        <f t="shared" ref="U10:AA10" si="4">E14*E13*SUM(U5:U8)</f>
        <v>765281.25</v>
      </c>
      <c r="V10" s="23">
        <f t="shared" si="4"/>
        <v>241191.8351574222</v>
      </c>
      <c r="W10" s="23">
        <f t="shared" si="4"/>
        <v>76049.811475516763</v>
      </c>
      <c r="X10" s="23">
        <f t="shared" si="4"/>
        <v>23990.148995945776</v>
      </c>
      <c r="Y10" s="23">
        <f t="shared" si="4"/>
        <v>7571.3307698515328</v>
      </c>
      <c r="Z10" s="23">
        <f t="shared" si="4"/>
        <v>2390.6781433917777</v>
      </c>
      <c r="AA10" s="23">
        <f t="shared" si="4"/>
        <v>755.23948518063423</v>
      </c>
    </row>
    <row r="11" spans="1:30" x14ac:dyDescent="0.35">
      <c r="A11" t="s">
        <v>192</v>
      </c>
      <c r="B11" t="s">
        <v>189</v>
      </c>
      <c r="C11" t="s">
        <v>263</v>
      </c>
      <c r="D11" t="s">
        <v>29</v>
      </c>
      <c r="E11">
        <v>50</v>
      </c>
      <c r="F11" s="76" cm="1">
        <f t="array" ref="F11:K11">E11*POWER(1+$L11,F$1:K$1-$E$1)</f>
        <v>47.549502494999999</v>
      </c>
      <c r="G11" s="76">
        <v>45.219103750440212</v>
      </c>
      <c r="H11" s="76">
        <v>43.002917732064418</v>
      </c>
      <c r="I11" s="76">
        <v>40.895346879861535</v>
      </c>
      <c r="J11" s="76">
        <v>38.891067969957319</v>
      </c>
      <c r="K11" s="77">
        <v>36.985018669414004</v>
      </c>
      <c r="L11" s="9">
        <v>-0.01</v>
      </c>
      <c r="M11" t="s">
        <v>614</v>
      </c>
      <c r="U11" s="23">
        <f t="shared" ref="U11:AA11" si="5">SUM(U5:U10)</f>
        <v>7667156.25</v>
      </c>
      <c r="V11" s="23">
        <f t="shared" si="5"/>
        <v>6860034.3733299226</v>
      </c>
      <c r="W11" s="23">
        <f t="shared" si="5"/>
        <v>6425731.2946513612</v>
      </c>
      <c r="X11" s="23">
        <f t="shared" si="5"/>
        <v>6117702.147049387</v>
      </c>
      <c r="Y11" s="23">
        <f t="shared" si="5"/>
        <v>5857858.8953938587</v>
      </c>
      <c r="Z11" s="23">
        <f t="shared" si="5"/>
        <v>5621184.0286734616</v>
      </c>
      <c r="AA11" s="23">
        <f t="shared" si="5"/>
        <v>5399399.8958024988</v>
      </c>
    </row>
    <row r="12" spans="1:30" x14ac:dyDescent="0.35">
      <c r="A12" t="s">
        <v>192</v>
      </c>
      <c r="B12" t="s">
        <v>189</v>
      </c>
      <c r="C12" t="s">
        <v>262</v>
      </c>
      <c r="D12" t="s">
        <v>29</v>
      </c>
      <c r="E12">
        <v>300</v>
      </c>
      <c r="F12" s="76" cm="1">
        <f t="array" ref="F12:K12">E12*POWER(1+$L12,F$1:K$1-$E$1)</f>
        <v>285.29701496999996</v>
      </c>
      <c r="G12" s="76">
        <v>271.31462250264127</v>
      </c>
      <c r="H12" s="76">
        <v>258.01750639238651</v>
      </c>
      <c r="I12" s="76">
        <v>245.37208127916921</v>
      </c>
      <c r="J12" s="76">
        <v>233.34640781974392</v>
      </c>
      <c r="K12" s="77">
        <v>221.91011201648402</v>
      </c>
      <c r="L12" s="9">
        <v>-0.01</v>
      </c>
      <c r="M12" t="s">
        <v>614</v>
      </c>
    </row>
    <row r="13" spans="1:30" x14ac:dyDescent="0.35">
      <c r="A13" t="s">
        <v>192</v>
      </c>
      <c r="B13" t="s">
        <v>189</v>
      </c>
      <c r="C13" t="s">
        <v>140</v>
      </c>
      <c r="D13" t="s">
        <v>2</v>
      </c>
      <c r="E13" s="42">
        <v>0.5</v>
      </c>
      <c r="F13" s="71" cm="1">
        <f t="array" ref="F13:K13">E13*POWER(1+$L13,F$1:K$1-$E$1)</f>
        <v>0.1638400000000001</v>
      </c>
      <c r="G13" s="71">
        <v>5.3687091200000057E-2</v>
      </c>
      <c r="H13" s="71">
        <v>1.7592186044416029E-2</v>
      </c>
      <c r="I13" s="71">
        <v>5.7646075230342476E-3</v>
      </c>
      <c r="J13" s="71">
        <v>1.8889465931478629E-3</v>
      </c>
      <c r="K13" s="72">
        <v>6.1897001964269203E-4</v>
      </c>
      <c r="L13" s="9">
        <v>-0.2</v>
      </c>
      <c r="M13" t="s">
        <v>142</v>
      </c>
    </row>
    <row r="14" spans="1:30" x14ac:dyDescent="0.35">
      <c r="A14" t="s">
        <v>192</v>
      </c>
      <c r="B14" t="s">
        <v>189</v>
      </c>
      <c r="C14" t="s">
        <v>141</v>
      </c>
      <c r="D14" t="s">
        <v>2</v>
      </c>
      <c r="E14" s="42">
        <v>0.3</v>
      </c>
      <c r="F14" s="71" cm="1">
        <f t="array" ref="F14:K14">E14*POWER(1+$L14,F$1:K$1-$E$1)</f>
        <v>0.3</v>
      </c>
      <c r="G14" s="71">
        <v>0.3</v>
      </c>
      <c r="H14" s="71">
        <v>0.3</v>
      </c>
      <c r="I14" s="71">
        <v>0.3</v>
      </c>
      <c r="J14" s="71">
        <v>0.3</v>
      </c>
      <c r="K14" s="72">
        <v>0.3</v>
      </c>
      <c r="L14" s="9">
        <v>0</v>
      </c>
      <c r="M14" t="s">
        <v>143</v>
      </c>
    </row>
    <row r="15" spans="1:30" x14ac:dyDescent="0.35">
      <c r="A15" t="s">
        <v>192</v>
      </c>
      <c r="B15" t="s">
        <v>189</v>
      </c>
      <c r="C15" t="s">
        <v>188</v>
      </c>
      <c r="D15" t="s">
        <v>2</v>
      </c>
      <c r="E15" s="91" cm="1">
        <f t="array" ref="E15:E16">H78:H79</f>
        <v>0.2653154761904763</v>
      </c>
      <c r="F15" s="71" cm="1">
        <f t="array" ref="F15:K15">E15*POWER(1+$L15,F$1:K$1-$E$1)</f>
        <v>0.2653154761904763</v>
      </c>
      <c r="G15" s="71">
        <v>0.2653154761904763</v>
      </c>
      <c r="H15" s="71">
        <v>0.2653154761904763</v>
      </c>
      <c r="I15" s="71">
        <v>0.2653154761904763</v>
      </c>
      <c r="J15" s="71">
        <v>0.2653154761904763</v>
      </c>
      <c r="K15" s="72">
        <v>0.2653154761904763</v>
      </c>
      <c r="L15" s="9">
        <v>0</v>
      </c>
    </row>
    <row r="16" spans="1:30" x14ac:dyDescent="0.35">
      <c r="A16" t="s">
        <v>192</v>
      </c>
      <c r="B16" t="s">
        <v>189</v>
      </c>
      <c r="C16" t="s">
        <v>173</v>
      </c>
      <c r="D16" t="s">
        <v>2</v>
      </c>
      <c r="E16" s="91">
        <v>0.72604475975560701</v>
      </c>
      <c r="F16" s="71" cm="1">
        <f t="array" ref="F16:K16">E16*POWER(1+$L16,F$1:K$1-$E$1)</f>
        <v>0.72604475975560701</v>
      </c>
      <c r="G16" s="71">
        <v>0.72604475975560701</v>
      </c>
      <c r="H16" s="71">
        <v>0.72604475975560701</v>
      </c>
      <c r="I16" s="71">
        <v>0.72604475975560701</v>
      </c>
      <c r="J16" s="71">
        <v>0.72604475975560701</v>
      </c>
      <c r="K16" s="72">
        <v>0.72604475975560701</v>
      </c>
      <c r="L16" s="9">
        <v>0</v>
      </c>
    </row>
    <row r="17" spans="1:25" x14ac:dyDescent="0.35">
      <c r="A17" t="s">
        <v>192</v>
      </c>
      <c r="B17" t="s">
        <v>189</v>
      </c>
      <c r="C17" t="s">
        <v>290</v>
      </c>
      <c r="D17" t="s">
        <v>33</v>
      </c>
      <c r="E17">
        <f>20*500</f>
        <v>10000</v>
      </c>
      <c r="F17" s="69" cm="1">
        <f t="array" ref="F17:K17">E17*POWER(1+$L17,F$1:K$1-$E$1)</f>
        <v>10000</v>
      </c>
      <c r="G17" s="69">
        <v>10000</v>
      </c>
      <c r="H17" s="69">
        <v>10000</v>
      </c>
      <c r="I17" s="69">
        <v>10000</v>
      </c>
      <c r="J17" s="69">
        <v>10000</v>
      </c>
      <c r="K17" s="70">
        <v>10000</v>
      </c>
      <c r="L17" s="9">
        <v>0</v>
      </c>
      <c r="M17" t="s">
        <v>616</v>
      </c>
    </row>
    <row r="18" spans="1:25" x14ac:dyDescent="0.35">
      <c r="A18" t="s">
        <v>192</v>
      </c>
      <c r="B18" t="s">
        <v>189</v>
      </c>
      <c r="C18" t="s">
        <v>267</v>
      </c>
      <c r="D18" t="s">
        <v>23</v>
      </c>
      <c r="E18">
        <v>10</v>
      </c>
      <c r="F18" s="69" cm="1">
        <f t="array" ref="F18:K18">E18*POWER(1+$L18,F$1:K$1-$E$1)</f>
        <v>10</v>
      </c>
      <c r="G18" s="69">
        <v>10</v>
      </c>
      <c r="H18" s="69">
        <v>10</v>
      </c>
      <c r="I18" s="69">
        <v>10</v>
      </c>
      <c r="J18" s="69">
        <v>10</v>
      </c>
      <c r="K18" s="70">
        <v>10</v>
      </c>
      <c r="L18" s="9">
        <v>0</v>
      </c>
      <c r="M18" t="s">
        <v>614</v>
      </c>
    </row>
    <row r="19" spans="1:25" x14ac:dyDescent="0.35">
      <c r="A19" s="24" t="s">
        <v>192</v>
      </c>
      <c r="B19" s="24" t="s">
        <v>189</v>
      </c>
      <c r="C19" s="24" t="s">
        <v>281</v>
      </c>
      <c r="D19" s="24" t="s">
        <v>283</v>
      </c>
      <c r="E19" s="144">
        <v>2000</v>
      </c>
      <c r="F19" s="145" cm="1">
        <f t="array" ref="F19:K19">E19*POWER(1+$L19,F$1:K$1-$E$1)</f>
        <v>2000</v>
      </c>
      <c r="G19" s="145">
        <v>2000</v>
      </c>
      <c r="H19" s="145">
        <v>2000</v>
      </c>
      <c r="I19" s="145">
        <v>2000</v>
      </c>
      <c r="J19" s="145">
        <v>2000</v>
      </c>
      <c r="K19" s="146">
        <v>2000</v>
      </c>
      <c r="L19" s="26">
        <v>0</v>
      </c>
      <c r="M19" t="s">
        <v>615</v>
      </c>
      <c r="Y19" s="23"/>
    </row>
    <row r="20" spans="1:25" x14ac:dyDescent="0.35">
      <c r="A20" t="s">
        <v>192</v>
      </c>
      <c r="B20" t="s">
        <v>598</v>
      </c>
      <c r="C20" t="s">
        <v>145</v>
      </c>
      <c r="D20" t="s">
        <v>138</v>
      </c>
      <c r="E20">
        <v>300</v>
      </c>
      <c r="F20" s="76" cm="1">
        <f t="array" ref="F20:K20">E20*POWER(1+$L20,F$1:K$1-$E$1)</f>
        <v>285.29701496999996</v>
      </c>
      <c r="G20" s="76">
        <v>271.31462250264127</v>
      </c>
      <c r="H20" s="76">
        <v>258.01750639238651</v>
      </c>
      <c r="I20" s="76">
        <v>245.37208127916921</v>
      </c>
      <c r="J20" s="76">
        <v>233.34640781974392</v>
      </c>
      <c r="K20" s="77">
        <v>221.91011201648402</v>
      </c>
      <c r="L20" s="9">
        <v>-0.01</v>
      </c>
      <c r="M20" t="s">
        <v>648</v>
      </c>
    </row>
    <row r="21" spans="1:25" x14ac:dyDescent="0.35">
      <c r="A21" t="s">
        <v>192</v>
      </c>
      <c r="B21" t="s">
        <v>598</v>
      </c>
      <c r="C21" t="s">
        <v>147</v>
      </c>
      <c r="D21" t="s">
        <v>35</v>
      </c>
      <c r="E21" s="42">
        <v>0.1</v>
      </c>
      <c r="F21" s="71" cm="1">
        <f t="array" ref="F21:K21">E21*POWER(1+$L21,F$1:K$1-$E$1)</f>
        <v>9.7524875312187509E-2</v>
      </c>
      <c r="G21" s="71">
        <v>9.5111013046577209E-2</v>
      </c>
      <c r="H21" s="71">
        <v>9.2756896881832807E-2</v>
      </c>
      <c r="I21" s="71">
        <v>9.0461048027461785E-2</v>
      </c>
      <c r="J21" s="71">
        <v>8.8222024294880158E-2</v>
      </c>
      <c r="K21" s="72">
        <v>8.6038419191469651E-2</v>
      </c>
      <c r="L21" s="9">
        <v>-5.0000000000000001E-3</v>
      </c>
      <c r="M21" t="s">
        <v>149</v>
      </c>
    </row>
    <row r="22" spans="1:25" x14ac:dyDescent="0.35">
      <c r="A22" t="s">
        <v>192</v>
      </c>
      <c r="B22" t="s">
        <v>598</v>
      </c>
      <c r="C22" t="s">
        <v>290</v>
      </c>
      <c r="D22" t="s">
        <v>33</v>
      </c>
      <c r="E22" s="18">
        <f>20*750</f>
        <v>15000</v>
      </c>
      <c r="F22" s="69" cm="1">
        <f t="array" ref="F22:K22">E22*POWER(1+$L22,F$1:K$1-$E$1)</f>
        <v>15000</v>
      </c>
      <c r="G22" s="69">
        <v>15000</v>
      </c>
      <c r="H22" s="69">
        <v>15000</v>
      </c>
      <c r="I22" s="69">
        <v>15000</v>
      </c>
      <c r="J22" s="69">
        <v>15000</v>
      </c>
      <c r="K22" s="70">
        <v>15000</v>
      </c>
      <c r="L22" s="9">
        <v>0</v>
      </c>
      <c r="M22" t="s">
        <v>292</v>
      </c>
    </row>
    <row r="23" spans="1:25" x14ac:dyDescent="0.35">
      <c r="A23" t="s">
        <v>192</v>
      </c>
      <c r="B23" t="s">
        <v>598</v>
      </c>
      <c r="C23" t="s">
        <v>135</v>
      </c>
      <c r="D23" t="s">
        <v>4</v>
      </c>
      <c r="E23">
        <v>15</v>
      </c>
      <c r="F23" s="76">
        <f t="shared" ref="F23:K23" si="6">E23+$L23*(F$1-E$1)</f>
        <v>15</v>
      </c>
      <c r="G23" s="76">
        <f t="shared" si="6"/>
        <v>15</v>
      </c>
      <c r="H23" s="76">
        <f t="shared" si="6"/>
        <v>15</v>
      </c>
      <c r="I23" s="76">
        <f t="shared" si="6"/>
        <v>15</v>
      </c>
      <c r="J23" s="76">
        <f t="shared" si="6"/>
        <v>15</v>
      </c>
      <c r="K23" s="77">
        <f t="shared" si="6"/>
        <v>15</v>
      </c>
      <c r="L23" s="14">
        <v>0</v>
      </c>
      <c r="M23" t="s">
        <v>509</v>
      </c>
    </row>
    <row r="24" spans="1:25" x14ac:dyDescent="0.35">
      <c r="A24" t="s">
        <v>192</v>
      </c>
      <c r="B24" t="s">
        <v>598</v>
      </c>
      <c r="C24" t="s">
        <v>146</v>
      </c>
      <c r="D24" t="s">
        <v>2</v>
      </c>
      <c r="E24" s="42">
        <v>0.1</v>
      </c>
      <c r="F24" s="71" cm="1">
        <f t="array" ref="F24:K24">E24*POWER(1+$L24,F$1:K$1-$E$1)</f>
        <v>0.1</v>
      </c>
      <c r="G24" s="71">
        <v>0.1</v>
      </c>
      <c r="H24" s="71">
        <v>0.1</v>
      </c>
      <c r="I24" s="71">
        <v>0.1</v>
      </c>
      <c r="J24" s="71">
        <v>0.1</v>
      </c>
      <c r="K24" s="72">
        <v>0.1</v>
      </c>
      <c r="L24" s="9">
        <v>0</v>
      </c>
      <c r="M24" t="s">
        <v>77</v>
      </c>
    </row>
    <row r="25" spans="1:25" x14ac:dyDescent="0.35">
      <c r="A25" t="s">
        <v>192</v>
      </c>
      <c r="B25" t="s">
        <v>598</v>
      </c>
      <c r="C25" t="s">
        <v>188</v>
      </c>
      <c r="D25" t="s">
        <v>2</v>
      </c>
      <c r="E25" s="91" cm="1">
        <f t="array" ref="E25:E26">G78:G79</f>
        <v>0.19898660714285721</v>
      </c>
      <c r="F25" s="71" cm="1">
        <f t="array" ref="F25:K25">E25*POWER(1+$L25,F$1:K$1-$E$1)</f>
        <v>0.19898660714285721</v>
      </c>
      <c r="G25" s="71">
        <v>0.19898660714285721</v>
      </c>
      <c r="H25" s="71">
        <v>0.19898660714285721</v>
      </c>
      <c r="I25" s="71">
        <v>0.19898660714285721</v>
      </c>
      <c r="J25" s="71">
        <v>0.19898660714285721</v>
      </c>
      <c r="K25" s="72">
        <v>0.19898660714285721</v>
      </c>
      <c r="L25" s="9">
        <v>0</v>
      </c>
    </row>
    <row r="26" spans="1:25" x14ac:dyDescent="0.35">
      <c r="A26" t="s">
        <v>192</v>
      </c>
      <c r="B26" t="s">
        <v>598</v>
      </c>
      <c r="C26" t="s">
        <v>173</v>
      </c>
      <c r="D26" t="s">
        <v>2</v>
      </c>
      <c r="E26" s="91">
        <v>0.72604475975560701</v>
      </c>
      <c r="F26" s="71" cm="1">
        <f t="array" ref="F26:K26">E26*POWER(1+$L26,F$1:K$1-$E$1)</f>
        <v>0.72604475975560701</v>
      </c>
      <c r="G26" s="71">
        <v>0.72604475975560701</v>
      </c>
      <c r="H26" s="71">
        <v>0.72604475975560701</v>
      </c>
      <c r="I26" s="71">
        <v>0.72604475975560701</v>
      </c>
      <c r="J26" s="71">
        <v>0.72604475975560701</v>
      </c>
      <c r="K26" s="72">
        <v>0.72604475975560701</v>
      </c>
      <c r="L26" s="9">
        <v>0</v>
      </c>
    </row>
    <row r="27" spans="1:25" x14ac:dyDescent="0.35">
      <c r="A27" s="24" t="s">
        <v>192</v>
      </c>
      <c r="B27" s="24" t="s">
        <v>598</v>
      </c>
      <c r="C27" s="24" t="s">
        <v>281</v>
      </c>
      <c r="D27" s="24" t="s">
        <v>282</v>
      </c>
      <c r="E27" s="144">
        <v>100</v>
      </c>
      <c r="F27" s="145" cm="1">
        <f t="array" ref="F27:K27">E27*POWER(1+$L27,F$1:K$1-$E$1)</f>
        <v>100</v>
      </c>
      <c r="G27" s="145">
        <v>100</v>
      </c>
      <c r="H27" s="145">
        <v>100</v>
      </c>
      <c r="I27" s="145">
        <v>100</v>
      </c>
      <c r="J27" s="145">
        <v>100</v>
      </c>
      <c r="K27" s="146">
        <v>100</v>
      </c>
      <c r="L27" s="26">
        <v>0</v>
      </c>
      <c r="M27" t="s">
        <v>617</v>
      </c>
    </row>
    <row r="28" spans="1:25" x14ac:dyDescent="0.35">
      <c r="A28" t="s">
        <v>192</v>
      </c>
      <c r="B28" t="s">
        <v>190</v>
      </c>
      <c r="C28" t="s">
        <v>145</v>
      </c>
      <c r="D28" t="s">
        <v>138</v>
      </c>
      <c r="E28" s="64">
        <f>E20</f>
        <v>300</v>
      </c>
      <c r="F28" s="76" cm="1">
        <f t="array" ref="F28:K28">E28*POWER(1+$L28,F$1:K$1-$E$1)</f>
        <v>285.29701496999996</v>
      </c>
      <c r="G28" s="76">
        <v>271.31462250264127</v>
      </c>
      <c r="H28" s="76">
        <v>258.01750639238651</v>
      </c>
      <c r="I28" s="76">
        <v>245.37208127916921</v>
      </c>
      <c r="J28" s="76">
        <v>233.34640781974392</v>
      </c>
      <c r="K28" s="77">
        <v>221.91011201648402</v>
      </c>
      <c r="L28" s="9">
        <v>-0.01</v>
      </c>
    </row>
    <row r="29" spans="1:25" x14ac:dyDescent="0.35">
      <c r="A29" t="s">
        <v>192</v>
      </c>
      <c r="B29" t="s">
        <v>190</v>
      </c>
      <c r="C29" t="s">
        <v>147</v>
      </c>
      <c r="D29" t="s">
        <v>35</v>
      </c>
      <c r="E29" s="42">
        <v>0.1</v>
      </c>
      <c r="F29" s="71" cm="1">
        <f t="array" ref="F29:K29">E29*POWER(1+$L29,F$1:K$1-$E$1)</f>
        <v>9.7524875312187509E-2</v>
      </c>
      <c r="G29" s="71">
        <v>9.5111013046577209E-2</v>
      </c>
      <c r="H29" s="71">
        <v>9.2756896881832807E-2</v>
      </c>
      <c r="I29" s="71">
        <v>9.0461048027461785E-2</v>
      </c>
      <c r="J29" s="71">
        <v>8.8222024294880158E-2</v>
      </c>
      <c r="K29" s="72">
        <v>8.6038419191469651E-2</v>
      </c>
      <c r="L29" s="9">
        <v>-5.0000000000000001E-3</v>
      </c>
      <c r="M29" t="s">
        <v>149</v>
      </c>
    </row>
    <row r="30" spans="1:25" x14ac:dyDescent="0.35">
      <c r="A30" t="s">
        <v>192</v>
      </c>
      <c r="B30" t="s">
        <v>190</v>
      </c>
      <c r="C30" t="s">
        <v>290</v>
      </c>
      <c r="D30" t="s">
        <v>33</v>
      </c>
      <c r="E30">
        <f>50*100</f>
        <v>5000</v>
      </c>
      <c r="F30" s="69" cm="1">
        <f t="array" ref="F30:K30">E30*POWER(1+$L30,F$1:K$1-$E$1)</f>
        <v>5000</v>
      </c>
      <c r="G30" s="69">
        <v>5000</v>
      </c>
      <c r="H30" s="69">
        <v>5000</v>
      </c>
      <c r="I30" s="69">
        <v>5000</v>
      </c>
      <c r="J30" s="69">
        <v>5000</v>
      </c>
      <c r="K30" s="70">
        <v>5000</v>
      </c>
      <c r="L30" s="9">
        <v>0</v>
      </c>
      <c r="M30" t="s">
        <v>291</v>
      </c>
    </row>
    <row r="31" spans="1:25" x14ac:dyDescent="0.35">
      <c r="A31" t="s">
        <v>192</v>
      </c>
      <c r="B31" t="s">
        <v>190</v>
      </c>
      <c r="C31" t="s">
        <v>135</v>
      </c>
      <c r="D31" t="s">
        <v>4</v>
      </c>
      <c r="E31">
        <v>7</v>
      </c>
      <c r="F31" s="76">
        <f t="shared" ref="F31:K31" si="7">E31+$L31*(F$1-E$1)</f>
        <v>7</v>
      </c>
      <c r="G31" s="76">
        <f t="shared" si="7"/>
        <v>7</v>
      </c>
      <c r="H31" s="76">
        <f t="shared" si="7"/>
        <v>7</v>
      </c>
      <c r="I31" s="76">
        <f t="shared" si="7"/>
        <v>7</v>
      </c>
      <c r="J31" s="76">
        <f t="shared" si="7"/>
        <v>7</v>
      </c>
      <c r="K31" s="77">
        <f t="shared" si="7"/>
        <v>7</v>
      </c>
      <c r="L31" s="14">
        <v>0</v>
      </c>
      <c r="M31" t="s">
        <v>77</v>
      </c>
    </row>
    <row r="32" spans="1:25" x14ac:dyDescent="0.35">
      <c r="A32" t="s">
        <v>192</v>
      </c>
      <c r="B32" t="s">
        <v>190</v>
      </c>
      <c r="C32" t="s">
        <v>146</v>
      </c>
      <c r="D32" t="s">
        <v>2</v>
      </c>
      <c r="E32" s="42">
        <v>0.1</v>
      </c>
      <c r="F32" s="71" cm="1">
        <f t="array" ref="F32:K32">E32*POWER(1+$L32,F$1:K$1-$E$1)</f>
        <v>0.1</v>
      </c>
      <c r="G32" s="71">
        <v>0.1</v>
      </c>
      <c r="H32" s="71">
        <v>0.1</v>
      </c>
      <c r="I32" s="71">
        <v>0.1</v>
      </c>
      <c r="J32" s="71">
        <v>0.1</v>
      </c>
      <c r="K32" s="72">
        <v>0.1</v>
      </c>
      <c r="L32" s="9">
        <v>0</v>
      </c>
      <c r="M32" t="s">
        <v>148</v>
      </c>
    </row>
    <row r="33" spans="1:23" x14ac:dyDescent="0.35">
      <c r="A33" t="s">
        <v>192</v>
      </c>
      <c r="B33" t="s">
        <v>190</v>
      </c>
      <c r="C33" t="s">
        <v>188</v>
      </c>
      <c r="D33" t="s">
        <v>2</v>
      </c>
      <c r="E33" s="91" cm="1">
        <f t="array" ref="E33:E34">E78:E79</f>
        <v>0.34132097069597084</v>
      </c>
      <c r="F33" s="71" cm="1">
        <f t="array" ref="F33:K33">E33*POWER(1+$L33,F$1:K$1-$E$1)</f>
        <v>0.34132097069597084</v>
      </c>
      <c r="G33" s="71">
        <v>0.34132097069597084</v>
      </c>
      <c r="H33" s="71">
        <v>0.34132097069597084</v>
      </c>
      <c r="I33" s="71">
        <v>0.34132097069597084</v>
      </c>
      <c r="J33" s="71">
        <v>0.34132097069597084</v>
      </c>
      <c r="K33" s="72">
        <v>0.34132097069597084</v>
      </c>
      <c r="L33" s="9">
        <v>0</v>
      </c>
    </row>
    <row r="34" spans="1:23" x14ac:dyDescent="0.35">
      <c r="A34" t="s">
        <v>192</v>
      </c>
      <c r="B34" t="s">
        <v>190</v>
      </c>
      <c r="C34" t="s">
        <v>173</v>
      </c>
      <c r="D34" t="s">
        <v>2</v>
      </c>
      <c r="E34" s="91">
        <v>0.37642924705736347</v>
      </c>
      <c r="F34" s="71" cm="1">
        <f t="array" ref="F34:K34">E34*POWER(1+$L34,F$1:K$1-$E$1)</f>
        <v>0.37642924705736347</v>
      </c>
      <c r="G34" s="71">
        <v>0.37642924705736347</v>
      </c>
      <c r="H34" s="71">
        <v>0.37642924705736347</v>
      </c>
      <c r="I34" s="71">
        <v>0.37642924705736347</v>
      </c>
      <c r="J34" s="71">
        <v>0.37642924705736347</v>
      </c>
      <c r="K34" s="72">
        <v>0.37642924705736347</v>
      </c>
      <c r="L34" s="9">
        <v>0</v>
      </c>
    </row>
    <row r="35" spans="1:23" x14ac:dyDescent="0.35">
      <c r="A35" s="24" t="s">
        <v>192</v>
      </c>
      <c r="B35" s="24" t="s">
        <v>190</v>
      </c>
      <c r="C35" s="24" t="s">
        <v>281</v>
      </c>
      <c r="D35" s="24" t="s">
        <v>282</v>
      </c>
      <c r="E35" s="144">
        <v>20</v>
      </c>
      <c r="F35" s="145" cm="1">
        <f t="array" ref="F35:K35">E35*POWER(1+$L35,F$1:K$1-$E$1)</f>
        <v>20</v>
      </c>
      <c r="G35" s="145">
        <v>20</v>
      </c>
      <c r="H35" s="145">
        <v>20</v>
      </c>
      <c r="I35" s="145">
        <v>20</v>
      </c>
      <c r="J35" s="145">
        <v>20</v>
      </c>
      <c r="K35" s="146">
        <v>20</v>
      </c>
      <c r="L35" s="26">
        <v>0</v>
      </c>
      <c r="M35" t="s">
        <v>618</v>
      </c>
      <c r="V35" t="s">
        <v>608</v>
      </c>
      <c r="W35">
        <v>4000</v>
      </c>
    </row>
    <row r="36" spans="1:23" x14ac:dyDescent="0.35">
      <c r="A36" t="s">
        <v>192</v>
      </c>
      <c r="B36" t="s">
        <v>191</v>
      </c>
      <c r="C36" t="s">
        <v>145</v>
      </c>
      <c r="D36" t="s">
        <v>138</v>
      </c>
      <c r="E36" s="64">
        <f>E20</f>
        <v>300</v>
      </c>
      <c r="F36" s="76" cm="1">
        <f t="array" ref="F36:K36">E36*POWER(1+$L36,F$1:K$1-$E$1)</f>
        <v>285.29701496999996</v>
      </c>
      <c r="G36" s="76">
        <v>271.31462250264127</v>
      </c>
      <c r="H36" s="76">
        <v>258.01750639238651</v>
      </c>
      <c r="I36" s="76">
        <v>245.37208127916921</v>
      </c>
      <c r="J36" s="76">
        <v>233.34640781974392</v>
      </c>
      <c r="K36" s="77">
        <v>221.91011201648402</v>
      </c>
      <c r="L36" s="9">
        <v>-0.01</v>
      </c>
      <c r="V36" t="s">
        <v>534</v>
      </c>
      <c r="W36">
        <v>85</v>
      </c>
    </row>
    <row r="37" spans="1:23" x14ac:dyDescent="0.35">
      <c r="A37" t="s">
        <v>192</v>
      </c>
      <c r="B37" t="s">
        <v>191</v>
      </c>
      <c r="C37" t="s">
        <v>147</v>
      </c>
      <c r="D37" t="s">
        <v>35</v>
      </c>
      <c r="E37" s="42">
        <v>0.1</v>
      </c>
      <c r="F37" s="71" cm="1">
        <f t="array" ref="F37:K37">E37*POWER(1+$L37,F$1:K$1-$E$1)</f>
        <v>9.7524875312187509E-2</v>
      </c>
      <c r="G37" s="71">
        <v>9.5111013046577209E-2</v>
      </c>
      <c r="H37" s="71">
        <v>9.2756896881832807E-2</v>
      </c>
      <c r="I37" s="71">
        <v>9.0461048027461785E-2</v>
      </c>
      <c r="J37" s="71">
        <v>8.8222024294880158E-2</v>
      </c>
      <c r="K37" s="72">
        <v>8.6038419191469651E-2</v>
      </c>
      <c r="L37" s="9">
        <v>-5.0000000000000001E-3</v>
      </c>
      <c r="M37" t="s">
        <v>621</v>
      </c>
      <c r="V37" t="s">
        <v>609</v>
      </c>
      <c r="W37" s="84">
        <f>(W35/24)/H78</f>
        <v>628.18298072824325</v>
      </c>
    </row>
    <row r="38" spans="1:23" x14ac:dyDescent="0.35">
      <c r="A38" t="s">
        <v>192</v>
      </c>
      <c r="B38" t="s">
        <v>191</v>
      </c>
      <c r="C38" t="s">
        <v>290</v>
      </c>
      <c r="D38" t="s">
        <v>33</v>
      </c>
      <c r="E38">
        <f>E30</f>
        <v>5000</v>
      </c>
      <c r="F38" s="69" cm="1">
        <f t="array" ref="F38:K38">E38*POWER(1+$L38,F$1:K$1-$E$1)</f>
        <v>5000</v>
      </c>
      <c r="G38" s="69">
        <v>5000</v>
      </c>
      <c r="H38" s="69">
        <v>5000</v>
      </c>
      <c r="I38" s="69">
        <v>5000</v>
      </c>
      <c r="J38" s="69">
        <v>5000</v>
      </c>
      <c r="K38" s="70">
        <v>5000</v>
      </c>
      <c r="L38" s="9">
        <v>0</v>
      </c>
      <c r="M38" t="s">
        <v>622</v>
      </c>
      <c r="V38" t="s">
        <v>610</v>
      </c>
      <c r="W38" s="14">
        <f>W37/W36</f>
        <v>7.3903880085675677</v>
      </c>
    </row>
    <row r="39" spans="1:23" x14ac:dyDescent="0.35">
      <c r="A39" t="s">
        <v>192</v>
      </c>
      <c r="B39" t="s">
        <v>191</v>
      </c>
      <c r="C39" t="s">
        <v>135</v>
      </c>
      <c r="D39" t="s">
        <v>4</v>
      </c>
      <c r="E39">
        <v>10</v>
      </c>
      <c r="F39" s="76">
        <f t="shared" ref="F39:K39" si="8">E39+$L39*(F$1-E$1)</f>
        <v>10</v>
      </c>
      <c r="G39" s="76">
        <f t="shared" si="8"/>
        <v>10</v>
      </c>
      <c r="H39" s="76">
        <f t="shared" si="8"/>
        <v>10</v>
      </c>
      <c r="I39" s="76">
        <f t="shared" si="8"/>
        <v>10</v>
      </c>
      <c r="J39" s="76">
        <f t="shared" si="8"/>
        <v>10</v>
      </c>
      <c r="K39" s="77">
        <f t="shared" si="8"/>
        <v>10</v>
      </c>
      <c r="L39" s="14">
        <v>0</v>
      </c>
      <c r="M39" t="s">
        <v>77</v>
      </c>
      <c r="V39" t="s">
        <v>611</v>
      </c>
      <c r="W39">
        <v>150</v>
      </c>
    </row>
    <row r="40" spans="1:23" x14ac:dyDescent="0.35">
      <c r="A40" t="s">
        <v>192</v>
      </c>
      <c r="B40" t="s">
        <v>191</v>
      </c>
      <c r="C40" t="s">
        <v>146</v>
      </c>
      <c r="D40" t="s">
        <v>2</v>
      </c>
      <c r="E40" s="42">
        <v>0.1</v>
      </c>
      <c r="F40" s="71" cm="1">
        <f t="array" ref="F40:K40">E40*POWER(1+$L40,F$1:K$1-$E$1)</f>
        <v>0.1</v>
      </c>
      <c r="G40" s="71">
        <v>0.1</v>
      </c>
      <c r="H40" s="71">
        <v>0.1</v>
      </c>
      <c r="I40" s="71">
        <v>0.1</v>
      </c>
      <c r="J40" s="71">
        <v>0.1</v>
      </c>
      <c r="K40" s="72">
        <v>0.1</v>
      </c>
      <c r="L40" s="9">
        <v>0</v>
      </c>
      <c r="M40" t="s">
        <v>622</v>
      </c>
      <c r="V40" t="s">
        <v>612</v>
      </c>
      <c r="W40" s="42">
        <v>0.4</v>
      </c>
    </row>
    <row r="41" spans="1:23" x14ac:dyDescent="0.35">
      <c r="A41" t="s">
        <v>192</v>
      </c>
      <c r="B41" t="s">
        <v>191</v>
      </c>
      <c r="C41" t="s">
        <v>188</v>
      </c>
      <c r="D41" t="s">
        <v>2</v>
      </c>
      <c r="E41" s="91" cm="1">
        <f t="array" ref="E41:E42">F78:F79</f>
        <v>0.13418253968253971</v>
      </c>
      <c r="F41" s="71" cm="1">
        <f t="array" ref="F41:K41">E41*POWER(1+$L41,F$1:K$1-$E$1)</f>
        <v>0.13418253968253971</v>
      </c>
      <c r="G41" s="71">
        <v>0.13418253968253971</v>
      </c>
      <c r="H41" s="71">
        <v>0.13418253968253971</v>
      </c>
      <c r="I41" s="71">
        <v>0.13418253968253971</v>
      </c>
      <c r="J41" s="71">
        <v>0.13418253968253971</v>
      </c>
      <c r="K41" s="72">
        <v>0.13418253968253971</v>
      </c>
      <c r="L41" s="9">
        <v>0</v>
      </c>
      <c r="V41" t="s">
        <v>613</v>
      </c>
      <c r="W41" s="84">
        <f>(W39/W40)*W38</f>
        <v>2771.3955032128379</v>
      </c>
    </row>
    <row r="42" spans="1:23" x14ac:dyDescent="0.35">
      <c r="A42" t="s">
        <v>192</v>
      </c>
      <c r="B42" t="s">
        <v>191</v>
      </c>
      <c r="C42" t="s">
        <v>173</v>
      </c>
      <c r="D42" t="s">
        <v>2</v>
      </c>
      <c r="E42" s="36">
        <v>0.82451781904715449</v>
      </c>
      <c r="F42" s="71" cm="1">
        <f t="array" ref="F42:K42">E42*POWER(1+$L42,F$1:K$1-$E$1)</f>
        <v>0.82451781904715449</v>
      </c>
      <c r="G42" s="71">
        <v>0.82451781904715449</v>
      </c>
      <c r="H42" s="71">
        <v>0.82451781904715449</v>
      </c>
      <c r="I42" s="71">
        <v>0.82451781904715449</v>
      </c>
      <c r="J42" s="71">
        <v>0.82451781904715449</v>
      </c>
      <c r="K42" s="72">
        <v>0.82451781904715449</v>
      </c>
      <c r="L42" s="9">
        <v>0</v>
      </c>
    </row>
    <row r="43" spans="1:23" x14ac:dyDescent="0.35">
      <c r="A43" s="24" t="s">
        <v>192</v>
      </c>
      <c r="B43" s="24" t="s">
        <v>191</v>
      </c>
      <c r="C43" s="24" t="s">
        <v>281</v>
      </c>
      <c r="D43" s="24" t="s">
        <v>282</v>
      </c>
      <c r="E43" s="147">
        <v>50</v>
      </c>
      <c r="F43" s="145" cm="1">
        <f t="array" ref="F43:K43">E43*POWER(1+$L43,F$1:K$1-$E$1)</f>
        <v>50</v>
      </c>
      <c r="G43" s="145">
        <v>50</v>
      </c>
      <c r="H43" s="145">
        <v>50</v>
      </c>
      <c r="I43" s="145">
        <v>50</v>
      </c>
      <c r="J43" s="145">
        <v>50</v>
      </c>
      <c r="K43" s="146">
        <v>50</v>
      </c>
      <c r="L43" s="26">
        <v>0</v>
      </c>
      <c r="M43" t="s">
        <v>618</v>
      </c>
    </row>
    <row r="44" spans="1:23" x14ac:dyDescent="0.35">
      <c r="A44" t="s">
        <v>192</v>
      </c>
      <c r="B44" t="s">
        <v>264</v>
      </c>
      <c r="C44" t="s">
        <v>265</v>
      </c>
      <c r="D44" t="s">
        <v>33</v>
      </c>
      <c r="E44">
        <v>5000</v>
      </c>
      <c r="F44" s="69" cm="1">
        <f t="array" ref="F44:K44">E44*POWER(1+$L44,F$1:K$1-$E$1)</f>
        <v>5000</v>
      </c>
      <c r="G44" s="69">
        <v>5000</v>
      </c>
      <c r="H44" s="69">
        <v>5000</v>
      </c>
      <c r="I44" s="69">
        <v>5000</v>
      </c>
      <c r="J44" s="69">
        <v>5000</v>
      </c>
      <c r="K44" s="70">
        <v>5000</v>
      </c>
      <c r="L44" s="9">
        <v>0</v>
      </c>
      <c r="M44" t="s">
        <v>619</v>
      </c>
    </row>
    <row r="45" spans="1:23" x14ac:dyDescent="0.35">
      <c r="A45" t="s">
        <v>192</v>
      </c>
      <c r="B45" t="s">
        <v>264</v>
      </c>
      <c r="C45" t="s">
        <v>266</v>
      </c>
      <c r="D45" t="s">
        <v>138</v>
      </c>
      <c r="E45">
        <v>300</v>
      </c>
      <c r="F45" s="69" cm="1">
        <f t="array" ref="F45:K45">E45*POWER(1+$L45,F$1:K$1-$E$1)</f>
        <v>300</v>
      </c>
      <c r="G45" s="69">
        <v>300</v>
      </c>
      <c r="H45" s="69">
        <v>300</v>
      </c>
      <c r="I45" s="69">
        <v>300</v>
      </c>
      <c r="J45" s="69">
        <v>300</v>
      </c>
      <c r="K45" s="70">
        <v>300</v>
      </c>
      <c r="L45" s="9">
        <v>0</v>
      </c>
      <c r="M45" t="s">
        <v>647</v>
      </c>
    </row>
    <row r="46" spans="1:23" x14ac:dyDescent="0.35">
      <c r="A46" t="s">
        <v>192</v>
      </c>
      <c r="B46" t="s">
        <v>264</v>
      </c>
      <c r="C46" t="s">
        <v>671</v>
      </c>
      <c r="D46" t="s">
        <v>86</v>
      </c>
      <c r="E46" s="126">
        <v>0.06</v>
      </c>
      <c r="F46" s="69" cm="1">
        <f t="array" ref="F46:K46">E46*POWER(1+$L46,F$1:K$1-$E$1)</f>
        <v>0.06</v>
      </c>
      <c r="G46" s="69">
        <v>0.06</v>
      </c>
      <c r="H46" s="69">
        <v>0.06</v>
      </c>
      <c r="I46" s="69">
        <v>0.06</v>
      </c>
      <c r="J46" s="69">
        <v>0.06</v>
      </c>
      <c r="K46" s="70">
        <v>0.06</v>
      </c>
      <c r="L46" s="9">
        <v>0</v>
      </c>
      <c r="M46" t="s">
        <v>620</v>
      </c>
    </row>
    <row r="47" spans="1:23" x14ac:dyDescent="0.35">
      <c r="F47" s="162"/>
      <c r="G47" s="162"/>
      <c r="H47" s="162"/>
      <c r="I47" s="162"/>
      <c r="J47" s="162"/>
      <c r="K47" s="162"/>
      <c r="L47" s="9"/>
    </row>
    <row r="48" spans="1:23" x14ac:dyDescent="0.35">
      <c r="E48" s="248" t="s">
        <v>158</v>
      </c>
      <c r="F48" s="248"/>
      <c r="G48" s="248"/>
      <c r="H48" s="248"/>
      <c r="I48" s="162"/>
      <c r="J48" s="162"/>
      <c r="K48" s="162"/>
      <c r="L48" s="9"/>
    </row>
    <row r="49" spans="4:28" ht="15.5" x14ac:dyDescent="0.35">
      <c r="D49" s="4" t="s">
        <v>402</v>
      </c>
      <c r="E49" s="4" t="s">
        <v>190</v>
      </c>
      <c r="F49" s="4" t="s">
        <v>191</v>
      </c>
      <c r="G49" s="4" t="s">
        <v>598</v>
      </c>
      <c r="H49" s="4" t="s">
        <v>189</v>
      </c>
      <c r="J49" s="82" t="s">
        <v>403</v>
      </c>
      <c r="K49" s="82" t="s">
        <v>158</v>
      </c>
      <c r="AB49" s="6"/>
    </row>
    <row r="50" spans="4:28" x14ac:dyDescent="0.35">
      <c r="D50">
        <v>0</v>
      </c>
      <c r="E50" s="6">
        <v>1</v>
      </c>
      <c r="F50" s="6">
        <v>0</v>
      </c>
      <c r="G50" s="251" cm="1">
        <f t="array" ref="G50:G73">H50:H73</f>
        <v>0.15</v>
      </c>
      <c r="H50" s="6">
        <v>0.15</v>
      </c>
      <c r="I50" s="6"/>
      <c r="J50" t="s">
        <v>151</v>
      </c>
      <c r="K50" s="42">
        <v>1</v>
      </c>
      <c r="AB50" s="6"/>
    </row>
    <row r="51" spans="4:28" x14ac:dyDescent="0.35">
      <c r="D51">
        <v>1</v>
      </c>
      <c r="E51" s="6">
        <v>1</v>
      </c>
      <c r="F51" s="6">
        <v>0</v>
      </c>
      <c r="G51" s="251">
        <v>0.15</v>
      </c>
      <c r="H51" s="6">
        <v>0.15</v>
      </c>
      <c r="I51" s="6"/>
      <c r="J51" t="s">
        <v>152</v>
      </c>
      <c r="K51" s="42">
        <v>1</v>
      </c>
      <c r="N51" s="6"/>
      <c r="AB51" s="6"/>
    </row>
    <row r="52" spans="4:28" x14ac:dyDescent="0.35">
      <c r="D52">
        <v>2</v>
      </c>
      <c r="E52" s="6">
        <v>1</v>
      </c>
      <c r="F52" s="6">
        <v>0</v>
      </c>
      <c r="G52" s="251">
        <v>0.15</v>
      </c>
      <c r="H52" s="6">
        <v>0.15</v>
      </c>
      <c r="I52" s="6"/>
      <c r="J52" t="s">
        <v>153</v>
      </c>
      <c r="K52" s="42">
        <v>1</v>
      </c>
      <c r="AB52" s="6"/>
    </row>
    <row r="53" spans="4:28" x14ac:dyDescent="0.35">
      <c r="D53">
        <v>3</v>
      </c>
      <c r="E53" s="6">
        <v>1</v>
      </c>
      <c r="F53" s="6">
        <v>0</v>
      </c>
      <c r="G53" s="251">
        <v>0.15</v>
      </c>
      <c r="H53" s="6">
        <v>0.15</v>
      </c>
      <c r="I53" s="6"/>
      <c r="J53" t="s">
        <v>154</v>
      </c>
      <c r="K53" s="42">
        <v>1</v>
      </c>
      <c r="N53" s="14"/>
      <c r="AB53" s="6"/>
    </row>
    <row r="54" spans="4:28" x14ac:dyDescent="0.35">
      <c r="D54">
        <v>4</v>
      </c>
      <c r="E54" s="6">
        <v>1</v>
      </c>
      <c r="F54" s="6">
        <v>0</v>
      </c>
      <c r="G54" s="251">
        <v>0.2</v>
      </c>
      <c r="H54" s="6">
        <v>0.2</v>
      </c>
      <c r="I54" s="6"/>
      <c r="J54" t="s">
        <v>155</v>
      </c>
      <c r="K54" s="42">
        <v>1</v>
      </c>
      <c r="AB54" s="6"/>
    </row>
    <row r="55" spans="4:28" x14ac:dyDescent="0.35">
      <c r="D55">
        <v>5</v>
      </c>
      <c r="E55" s="6">
        <v>0.85</v>
      </c>
      <c r="F55" s="6">
        <v>0</v>
      </c>
      <c r="G55" s="251">
        <v>0.3</v>
      </c>
      <c r="H55" s="6">
        <v>0.3</v>
      </c>
      <c r="I55" s="6"/>
      <c r="J55" t="s">
        <v>156</v>
      </c>
      <c r="K55" s="42">
        <v>0.4</v>
      </c>
      <c r="AB55" s="6"/>
    </row>
    <row r="56" spans="4:28" x14ac:dyDescent="0.35">
      <c r="D56">
        <v>6</v>
      </c>
      <c r="E56" s="6">
        <v>0.7</v>
      </c>
      <c r="F56" s="6">
        <v>0</v>
      </c>
      <c r="G56" s="251">
        <v>0.5</v>
      </c>
      <c r="H56" s="6">
        <v>0.5</v>
      </c>
      <c r="I56" s="6"/>
      <c r="J56" s="24" t="s">
        <v>157</v>
      </c>
      <c r="K56" s="79">
        <v>0.4</v>
      </c>
      <c r="AB56" s="6"/>
    </row>
    <row r="57" spans="4:28" x14ac:dyDescent="0.35">
      <c r="D57">
        <v>7</v>
      </c>
      <c r="E57" s="6">
        <v>0.3</v>
      </c>
      <c r="F57" s="6">
        <v>0.2</v>
      </c>
      <c r="G57" s="251">
        <v>0.6</v>
      </c>
      <c r="H57" s="6">
        <v>0.6</v>
      </c>
      <c r="I57" s="6"/>
      <c r="J57" t="s">
        <v>401</v>
      </c>
      <c r="K57" s="80">
        <f>AVERAGE(K50:K56)</f>
        <v>0.82857142857142863</v>
      </c>
      <c r="AB57" s="6"/>
    </row>
    <row r="58" spans="4:28" x14ac:dyDescent="0.35">
      <c r="D58">
        <v>8</v>
      </c>
      <c r="E58" s="6">
        <v>0.1</v>
      </c>
      <c r="F58" s="6">
        <v>0.5</v>
      </c>
      <c r="G58" s="251">
        <v>0.75</v>
      </c>
      <c r="H58" s="6">
        <v>0.75</v>
      </c>
      <c r="I58" s="6"/>
      <c r="AB58" s="6"/>
    </row>
    <row r="59" spans="4:28" ht="15.5" x14ac:dyDescent="0.35">
      <c r="D59">
        <v>9</v>
      </c>
      <c r="E59" s="6">
        <v>0.05</v>
      </c>
      <c r="F59" s="6">
        <v>1</v>
      </c>
      <c r="G59" s="251">
        <v>0.9</v>
      </c>
      <c r="H59" s="6">
        <v>0.9</v>
      </c>
      <c r="I59" s="6"/>
      <c r="J59" s="82" t="s">
        <v>404</v>
      </c>
      <c r="K59" s="82" t="s">
        <v>158</v>
      </c>
      <c r="AB59" s="6"/>
    </row>
    <row r="60" spans="4:28" x14ac:dyDescent="0.35">
      <c r="D60">
        <v>10</v>
      </c>
      <c r="E60" s="6">
        <v>0.05</v>
      </c>
      <c r="F60" s="6">
        <v>1</v>
      </c>
      <c r="G60" s="251">
        <v>1</v>
      </c>
      <c r="H60" s="6">
        <v>1</v>
      </c>
      <c r="I60" s="6"/>
      <c r="J60" t="s">
        <v>159</v>
      </c>
      <c r="K60" s="42">
        <v>0.8</v>
      </c>
      <c r="AB60" s="6"/>
    </row>
    <row r="61" spans="4:28" x14ac:dyDescent="0.35">
      <c r="D61">
        <v>11</v>
      </c>
      <c r="E61" s="6">
        <v>0.05</v>
      </c>
      <c r="F61" s="6">
        <v>1</v>
      </c>
      <c r="G61" s="251">
        <v>1</v>
      </c>
      <c r="H61" s="6">
        <v>1</v>
      </c>
      <c r="I61" s="6"/>
      <c r="J61" t="s">
        <v>160</v>
      </c>
      <c r="K61" s="42">
        <v>1</v>
      </c>
      <c r="AB61" s="6"/>
    </row>
    <row r="62" spans="4:28" x14ac:dyDescent="0.35">
      <c r="D62">
        <v>12</v>
      </c>
      <c r="E62" s="6">
        <v>0.8</v>
      </c>
      <c r="F62" s="6">
        <v>0.7</v>
      </c>
      <c r="G62" s="251">
        <v>1</v>
      </c>
      <c r="H62" s="6">
        <v>1</v>
      </c>
      <c r="I62" s="6"/>
      <c r="J62" t="s">
        <v>161</v>
      </c>
      <c r="K62" s="42">
        <v>1</v>
      </c>
      <c r="AB62" s="6"/>
    </row>
    <row r="63" spans="4:28" x14ac:dyDescent="0.35">
      <c r="D63">
        <v>13</v>
      </c>
      <c r="E63" s="6">
        <v>0.8</v>
      </c>
      <c r="F63" s="6">
        <v>0.7</v>
      </c>
      <c r="G63" s="251">
        <v>1</v>
      </c>
      <c r="H63" s="6">
        <v>1</v>
      </c>
      <c r="I63" s="6"/>
      <c r="J63" t="s">
        <v>162</v>
      </c>
      <c r="K63" s="42">
        <v>1</v>
      </c>
      <c r="AB63" s="6"/>
    </row>
    <row r="64" spans="4:28" x14ac:dyDescent="0.35">
      <c r="D64">
        <v>14</v>
      </c>
      <c r="E64" s="6">
        <v>0.05</v>
      </c>
      <c r="F64" s="6">
        <v>1</v>
      </c>
      <c r="G64" s="251">
        <v>1</v>
      </c>
      <c r="H64" s="6">
        <v>1</v>
      </c>
      <c r="I64" s="6"/>
      <c r="J64" t="s">
        <v>163</v>
      </c>
      <c r="K64" s="42">
        <v>1</v>
      </c>
      <c r="AB64" s="6"/>
    </row>
    <row r="65" spans="3:28" x14ac:dyDescent="0.35">
      <c r="D65">
        <v>15</v>
      </c>
      <c r="E65" s="6">
        <v>0.05</v>
      </c>
      <c r="F65" s="6">
        <v>1</v>
      </c>
      <c r="G65" s="251">
        <v>0.9</v>
      </c>
      <c r="H65" s="6">
        <v>0.9</v>
      </c>
      <c r="I65" s="6"/>
      <c r="J65" t="s">
        <v>164</v>
      </c>
      <c r="K65" s="42">
        <v>0.8</v>
      </c>
      <c r="AB65" s="6"/>
    </row>
    <row r="66" spans="3:28" x14ac:dyDescent="0.35">
      <c r="D66">
        <v>16</v>
      </c>
      <c r="E66" s="6">
        <v>0.05</v>
      </c>
      <c r="F66" s="6">
        <v>1</v>
      </c>
      <c r="G66" s="251">
        <v>0.8</v>
      </c>
      <c r="H66" s="6">
        <v>0.8</v>
      </c>
      <c r="I66" s="6"/>
      <c r="J66" t="s">
        <v>165</v>
      </c>
      <c r="K66" s="42">
        <v>0.4</v>
      </c>
      <c r="AB66" s="6"/>
    </row>
    <row r="67" spans="3:28" x14ac:dyDescent="0.35">
      <c r="D67">
        <v>17</v>
      </c>
      <c r="E67" s="6">
        <v>0.3</v>
      </c>
      <c r="F67" s="6">
        <v>0.5</v>
      </c>
      <c r="G67" s="251">
        <v>0.7</v>
      </c>
      <c r="H67" s="6">
        <v>0.7</v>
      </c>
      <c r="I67" s="6"/>
      <c r="J67" t="s">
        <v>166</v>
      </c>
      <c r="K67" s="42">
        <v>0.8</v>
      </c>
      <c r="AB67" s="6"/>
    </row>
    <row r="68" spans="3:28" x14ac:dyDescent="0.35">
      <c r="D68">
        <v>18</v>
      </c>
      <c r="E68" s="6">
        <v>0.7</v>
      </c>
      <c r="F68" s="6">
        <v>0.2</v>
      </c>
      <c r="G68" s="251">
        <v>0.6</v>
      </c>
      <c r="H68" s="6">
        <v>0.6</v>
      </c>
      <c r="I68" s="6"/>
      <c r="J68" t="s">
        <v>167</v>
      </c>
      <c r="K68" s="42">
        <v>1</v>
      </c>
      <c r="AB68" s="6"/>
    </row>
    <row r="69" spans="3:28" x14ac:dyDescent="0.35">
      <c r="D69">
        <v>19</v>
      </c>
      <c r="E69" s="6">
        <v>0.8</v>
      </c>
      <c r="F69" s="6">
        <v>0</v>
      </c>
      <c r="G69" s="251">
        <v>0.4</v>
      </c>
      <c r="H69" s="6">
        <v>0.4</v>
      </c>
      <c r="I69" s="6"/>
      <c r="J69" t="s">
        <v>168</v>
      </c>
      <c r="K69" s="42">
        <v>1</v>
      </c>
      <c r="AB69" s="6"/>
    </row>
    <row r="70" spans="3:28" x14ac:dyDescent="0.35">
      <c r="D70">
        <v>20</v>
      </c>
      <c r="E70" s="6">
        <v>0.9</v>
      </c>
      <c r="F70" s="6">
        <v>0</v>
      </c>
      <c r="G70" s="251">
        <v>0.3</v>
      </c>
      <c r="H70" s="6">
        <v>0.3</v>
      </c>
      <c r="I70" s="6"/>
      <c r="J70" t="s">
        <v>169</v>
      </c>
      <c r="K70" s="42">
        <v>1</v>
      </c>
      <c r="AB70" s="6"/>
    </row>
    <row r="71" spans="3:28" x14ac:dyDescent="0.35">
      <c r="D71">
        <v>21</v>
      </c>
      <c r="E71" s="6">
        <v>1</v>
      </c>
      <c r="F71" s="6">
        <v>0</v>
      </c>
      <c r="G71" s="251">
        <v>0.2</v>
      </c>
      <c r="H71" s="6">
        <v>0.2</v>
      </c>
      <c r="I71" s="6"/>
      <c r="J71" s="24" t="s">
        <v>170</v>
      </c>
      <c r="K71" s="79">
        <v>0.8</v>
      </c>
      <c r="AB71" s="6"/>
    </row>
    <row r="72" spans="3:28" x14ac:dyDescent="0.35">
      <c r="D72">
        <v>22</v>
      </c>
      <c r="E72" s="6">
        <v>1</v>
      </c>
      <c r="F72" s="6">
        <v>0</v>
      </c>
      <c r="G72" s="251">
        <v>0.15</v>
      </c>
      <c r="H72" s="6">
        <v>0.15</v>
      </c>
      <c r="I72" s="6"/>
      <c r="J72" t="s">
        <v>401</v>
      </c>
      <c r="K72" s="80">
        <f>AVERAGE(K60:K71)</f>
        <v>0.88333333333333341</v>
      </c>
      <c r="AB72" s="6"/>
    </row>
    <row r="73" spans="3:28" x14ac:dyDescent="0.35">
      <c r="D73">
        <v>23</v>
      </c>
      <c r="E73" s="6">
        <v>1</v>
      </c>
      <c r="F73" s="6">
        <v>0</v>
      </c>
      <c r="G73" s="251">
        <v>0.15</v>
      </c>
      <c r="H73" s="6">
        <v>0.15</v>
      </c>
      <c r="I73" s="6"/>
    </row>
    <row r="74" spans="3:28" x14ac:dyDescent="0.35">
      <c r="D74" t="s">
        <v>401</v>
      </c>
      <c r="E74" s="83">
        <f>AVERAGE(E50:E73)</f>
        <v>0.60625000000000007</v>
      </c>
      <c r="F74" s="83">
        <f>AVERAGE(F50:F73)</f>
        <v>0.3666666666666667</v>
      </c>
      <c r="G74" s="83">
        <f>AVERAGE(G50:G73)</f>
        <v>0.54375000000000007</v>
      </c>
      <c r="H74" s="83">
        <f>AVERAGE(H50:H73)</f>
        <v>0.54375000000000007</v>
      </c>
      <c r="I74" s="83"/>
    </row>
    <row r="76" spans="3:28" x14ac:dyDescent="0.35">
      <c r="C76" t="s">
        <v>81</v>
      </c>
      <c r="D76" t="s">
        <v>83</v>
      </c>
      <c r="E76" t="str" cm="1">
        <f t="array" ref="E76:H76">E49:H49</f>
        <v>Depot</v>
      </c>
      <c r="F76" t="str">
        <v>Destination</v>
      </c>
      <c r="G76" t="str">
        <v>Rest Stop</v>
      </c>
      <c r="H76" t="str">
        <v>ERS</v>
      </c>
    </row>
    <row r="77" spans="3:28" x14ac:dyDescent="0.35">
      <c r="C77" t="s">
        <v>674</v>
      </c>
      <c r="D77" t="s">
        <v>85</v>
      </c>
      <c r="E77" s="42">
        <v>0.3</v>
      </c>
      <c r="F77" s="42">
        <v>1</v>
      </c>
      <c r="G77" s="42">
        <v>1</v>
      </c>
      <c r="H77" s="42">
        <v>0.5</v>
      </c>
    </row>
    <row r="78" spans="3:28" x14ac:dyDescent="0.35">
      <c r="C78" t="s">
        <v>172</v>
      </c>
      <c r="D78" t="s">
        <v>85</v>
      </c>
      <c r="E78" s="252" cm="1">
        <f t="array" ref="E78:H78">E74:H74*K57*K72/(1+E77:H77)</f>
        <v>0.34132097069597084</v>
      </c>
      <c r="F78" s="80">
        <v>0.13418253968253971</v>
      </c>
      <c r="G78" s="80">
        <v>0.19898660714285721</v>
      </c>
      <c r="H78" s="80">
        <v>0.2653154761904763</v>
      </c>
    </row>
    <row r="79" spans="3:28" x14ac:dyDescent="0.35">
      <c r="C79" t="s">
        <v>405</v>
      </c>
      <c r="D79" t="s">
        <v>406</v>
      </c>
      <c r="E79" s="83" cm="1">
        <f t="array" ref="E79">SUMPRODUCT(_xlfn.ANCHORARRAY('electricity price curves'!$J2)*infra!E50:E73)/SUM(infra!E50:E73)</f>
        <v>0.37642924705736347</v>
      </c>
      <c r="F79" s="83" cm="1">
        <f t="array" ref="F79">SUMPRODUCT(_xlfn.ANCHORARRAY('electricity price curves'!$J2)*infra!F50:F73)/SUM(infra!F50:F73)</f>
        <v>0.82451781904715449</v>
      </c>
      <c r="G79" s="83" cm="1">
        <f t="array" ref="G79">SUMPRODUCT(_xlfn.ANCHORARRAY('electricity price curves'!$J2)*infra!G50:G73)/SUM(infra!G50:G73)</f>
        <v>0.72604475975560701</v>
      </c>
      <c r="H79" s="83" cm="1">
        <f t="array" ref="H79">SUMPRODUCT(_xlfn.ANCHORARRAY('electricity price curves'!$J2)*infra!H50:H73)/SUM(infra!H50:H73)</f>
        <v>0.72604475975560701</v>
      </c>
    </row>
    <row r="80" spans="3:28" x14ac:dyDescent="0.35">
      <c r="C80" t="s">
        <v>407</v>
      </c>
      <c r="D80" t="s">
        <v>86</v>
      </c>
      <c r="E80" s="136" cm="1">
        <f t="array" ref="E80:H80">E46/(10*_xlfn.ANCHORARRAY(E78))</f>
        <v>1.7578761679265399E-2</v>
      </c>
      <c r="F80" s="136">
        <v>4.4715206719110417E-2</v>
      </c>
      <c r="G80" s="136">
        <v>3.015278307495568E-2</v>
      </c>
      <c r="H80" s="136">
        <v>2.2614587306216759E-2</v>
      </c>
    </row>
    <row r="81" spans="3:22" x14ac:dyDescent="0.35">
      <c r="C81" t="s">
        <v>393</v>
      </c>
      <c r="D81" t="s">
        <v>86</v>
      </c>
      <c r="E81" s="125" cm="1">
        <f t="array" ref="E81:H81">world!E27+E79:H79*(world!E28-world!E27)</f>
        <v>9.1607451094968456E-2</v>
      </c>
      <c r="F81" s="125">
        <v>0.11578635954513455</v>
      </c>
      <c r="G81" s="125">
        <v>0.1104727424741945</v>
      </c>
      <c r="H81" s="125">
        <v>0.1104727424741945</v>
      </c>
    </row>
    <row r="82" spans="3:22" x14ac:dyDescent="0.35">
      <c r="C82" t="s">
        <v>408</v>
      </c>
      <c r="D82" t="s">
        <v>86</v>
      </c>
      <c r="E82" s="136" cm="1">
        <f t="array" ref="E82:H82">_xlfn.ANCHORARRAY(E81)+_xlfn.ANCHORARRAY(E80)</f>
        <v>0.10918621277423385</v>
      </c>
      <c r="F82" s="136">
        <v>0.16050156626424497</v>
      </c>
      <c r="G82" s="136">
        <v>0.14062552554915017</v>
      </c>
      <c r="H82" s="136">
        <v>0.13308732978041127</v>
      </c>
    </row>
    <row r="84" spans="3:22" x14ac:dyDescent="0.35">
      <c r="F84" t="s">
        <v>309</v>
      </c>
      <c r="I84" s="127" t="s">
        <v>270</v>
      </c>
      <c r="L84" s="127" t="s">
        <v>272</v>
      </c>
      <c r="N84" s="152"/>
      <c r="O84" s="127" t="s">
        <v>271</v>
      </c>
      <c r="R84" s="127" t="s">
        <v>273</v>
      </c>
    </row>
    <row r="85" spans="3:22" x14ac:dyDescent="0.35">
      <c r="C85" t="s">
        <v>274</v>
      </c>
      <c r="D85" t="s">
        <v>268</v>
      </c>
      <c r="E85" t="s">
        <v>269</v>
      </c>
      <c r="F85" t="s">
        <v>144</v>
      </c>
      <c r="G85" t="s">
        <v>171</v>
      </c>
      <c r="H85" t="s">
        <v>187</v>
      </c>
      <c r="I85" s="127" t="s">
        <v>144</v>
      </c>
      <c r="J85" t="s">
        <v>171</v>
      </c>
      <c r="K85" t="s">
        <v>187</v>
      </c>
      <c r="L85" s="127" t="s">
        <v>144</v>
      </c>
      <c r="M85" t="s">
        <v>171</v>
      </c>
      <c r="N85" t="s">
        <v>187</v>
      </c>
      <c r="O85" s="127" t="s">
        <v>144</v>
      </c>
      <c r="P85" t="s">
        <v>171</v>
      </c>
      <c r="Q85" t="s">
        <v>187</v>
      </c>
      <c r="R85" s="127" t="s">
        <v>144</v>
      </c>
      <c r="S85" t="s">
        <v>171</v>
      </c>
      <c r="T85" t="s">
        <v>187</v>
      </c>
    </row>
    <row r="86" spans="3:22" x14ac:dyDescent="0.35">
      <c r="C86" s="123">
        <v>300</v>
      </c>
      <c r="D86">
        <v>5</v>
      </c>
      <c r="E86" cm="1">
        <f t="array" ref="E86:E93">D86:D93*C86</f>
        <v>1500</v>
      </c>
      <c r="F86" cm="1">
        <f t="array" ref="F86:H93">IF(_xlfn.CEILING.MATH(D86:D93*TRANSPOSE(vehicles!F13:F15)/(24*E78:G78))&lt;D86:D93,_xlfn.CEILING.MATH(D86:D93*TRANSPOSE(vehicles!F13:F15)/(24*E78:G78)),D86:D93)</f>
        <v>5</v>
      </c>
      <c r="G86">
        <v>2</v>
      </c>
      <c r="H86">
        <v>1</v>
      </c>
      <c r="I86" s="127" cm="1">
        <f t="array" ref="I86:K93">_xlfn.ANCHORARRAY(F86)*C86/TRANSPOSE(vehicles!F13:F15)</f>
        <v>166.66666666666666</v>
      </c>
      <c r="J86">
        <v>600</v>
      </c>
      <c r="K86">
        <v>400</v>
      </c>
      <c r="L86" s="128" cm="1">
        <f t="array" ref="L86:L93">(($E$44+$E$45*I86:I93+E30)+(E28*I86:I93)*(1+E31*E29))*(1+world!E4*E31/2)/E31</f>
        <v>25789.285714285717</v>
      </c>
      <c r="M86" s="124" cm="1">
        <f t="array" ref="M86:M93">(($E$44+$E$45*J86:J93+E38)+(E36*J86:J93)*(1+E39*E37))*(1+world!E3*E39/2)/E39</f>
        <v>63250</v>
      </c>
      <c r="N86" s="153" cm="1">
        <f t="array" ref="N86:N93">(($E$44+$E$45*K86:K93+E22)+(E20*K86:K93)*(1+E23*E21))*(1+world!E3*E23/2)/E23</f>
        <v>35933.333333333336</v>
      </c>
      <c r="O86" s="128" cm="1">
        <f t="array" ref="O86:Q93">_xlfn.ANCHORARRAY(E86)*365*(E80:G80+E81:G81)</f>
        <v>59779.45149389303</v>
      </c>
      <c r="P86" s="124">
        <v>87874.607529674118</v>
      </c>
      <c r="Q86" s="124">
        <v>76992.475238159721</v>
      </c>
      <c r="R86" s="129" cm="1">
        <f t="array" ref="R86:T93">(L86:N93+_xlfn.ANCHORARRAY(O86))/(_xlfn.ANCHORARRAY(E86)*365)</f>
        <v>0.15628993097384247</v>
      </c>
      <c r="S86" s="126">
        <v>0.27602668041949613</v>
      </c>
      <c r="T86" s="126">
        <v>0.20625718460546677</v>
      </c>
    </row>
    <row r="87" spans="3:22" x14ac:dyDescent="0.35">
      <c r="D87">
        <v>10</v>
      </c>
      <c r="E87">
        <v>3000</v>
      </c>
      <c r="F87">
        <v>10</v>
      </c>
      <c r="G87">
        <v>4</v>
      </c>
      <c r="H87">
        <v>2</v>
      </c>
      <c r="I87" s="127">
        <v>333.33333333333331</v>
      </c>
      <c r="J87">
        <v>1200</v>
      </c>
      <c r="K87">
        <v>800</v>
      </c>
      <c r="L87" s="128">
        <v>49800.000000000007</v>
      </c>
      <c r="M87" s="124">
        <v>125350</v>
      </c>
      <c r="N87" s="153">
        <v>70233.333333333328</v>
      </c>
      <c r="O87" s="128">
        <v>119558.90298778606</v>
      </c>
      <c r="P87" s="124">
        <v>175749.21505934824</v>
      </c>
      <c r="Q87" s="124">
        <v>153984.95047631944</v>
      </c>
      <c r="R87" s="129">
        <v>0.15466566482902838</v>
      </c>
      <c r="S87" s="126">
        <v>0.27497645210899385</v>
      </c>
      <c r="T87" s="126">
        <v>0.20476555599055049</v>
      </c>
    </row>
    <row r="88" spans="3:22" x14ac:dyDescent="0.35">
      <c r="D88">
        <v>20</v>
      </c>
      <c r="E88">
        <v>6000</v>
      </c>
      <c r="F88">
        <v>20</v>
      </c>
      <c r="G88">
        <v>7</v>
      </c>
      <c r="H88">
        <v>4</v>
      </c>
      <c r="I88" s="127">
        <v>666.66666666666663</v>
      </c>
      <c r="J88">
        <v>2100</v>
      </c>
      <c r="K88">
        <v>1600</v>
      </c>
      <c r="L88" s="128">
        <v>97821.428571428594</v>
      </c>
      <c r="M88" s="124">
        <v>218500</v>
      </c>
      <c r="N88" s="153">
        <v>138833.33333333334</v>
      </c>
      <c r="O88" s="128">
        <v>239117.80597557212</v>
      </c>
      <c r="P88" s="124">
        <v>351498.43011869647</v>
      </c>
      <c r="Q88" s="124">
        <v>307969.90095263888</v>
      </c>
      <c r="R88" s="129">
        <v>0.15385353175662134</v>
      </c>
      <c r="S88" s="126">
        <v>0.26027325576196186</v>
      </c>
      <c r="T88" s="126">
        <v>0.20401974168309234</v>
      </c>
    </row>
    <row r="89" spans="3:22" x14ac:dyDescent="0.35">
      <c r="D89">
        <v>50</v>
      </c>
      <c r="E89">
        <v>15000</v>
      </c>
      <c r="F89">
        <v>50</v>
      </c>
      <c r="G89">
        <v>16</v>
      </c>
      <c r="H89">
        <v>8</v>
      </c>
      <c r="I89" s="127">
        <v>1666.6666666666667</v>
      </c>
      <c r="J89">
        <v>4800</v>
      </c>
      <c r="K89">
        <v>3200</v>
      </c>
      <c r="L89" s="128">
        <v>241885.71428571432</v>
      </c>
      <c r="M89" s="124">
        <v>497950</v>
      </c>
      <c r="N89" s="153">
        <v>276033.33333333337</v>
      </c>
      <c r="O89" s="128">
        <v>597794.51493893028</v>
      </c>
      <c r="P89" s="124">
        <v>878746.07529674121</v>
      </c>
      <c r="Q89" s="124">
        <v>769924.75238159718</v>
      </c>
      <c r="R89" s="129">
        <v>0.1533662519131771</v>
      </c>
      <c r="S89" s="126">
        <v>0.25145133795374269</v>
      </c>
      <c r="T89" s="126">
        <v>0.19104257273332065</v>
      </c>
    </row>
    <row r="90" spans="3:22" x14ac:dyDescent="0.35">
      <c r="D90">
        <v>100</v>
      </c>
      <c r="E90">
        <v>30000</v>
      </c>
      <c r="F90">
        <v>100</v>
      </c>
      <c r="G90">
        <v>32</v>
      </c>
      <c r="H90">
        <v>16</v>
      </c>
      <c r="I90" s="127">
        <v>3333.3333333333335</v>
      </c>
      <c r="J90">
        <v>9600</v>
      </c>
      <c r="K90">
        <v>6400</v>
      </c>
      <c r="L90" s="128">
        <v>481992.85714285722</v>
      </c>
      <c r="M90" s="124">
        <v>994750</v>
      </c>
      <c r="N90" s="153">
        <v>550433.33333333337</v>
      </c>
      <c r="O90" s="128">
        <v>1195589.0298778606</v>
      </c>
      <c r="P90" s="124">
        <v>1757492.1505934824</v>
      </c>
      <c r="Q90" s="124">
        <v>1539849.5047631944</v>
      </c>
      <c r="R90" s="129">
        <v>0.15320382529869569</v>
      </c>
      <c r="S90" s="126">
        <v>0.25134631512269245</v>
      </c>
      <c r="T90" s="126">
        <v>0.19089340987182904</v>
      </c>
    </row>
    <row r="91" spans="3:22" x14ac:dyDescent="0.35">
      <c r="D91">
        <v>200</v>
      </c>
      <c r="E91">
        <v>60000</v>
      </c>
      <c r="F91">
        <v>200</v>
      </c>
      <c r="G91">
        <v>63</v>
      </c>
      <c r="H91">
        <v>32</v>
      </c>
      <c r="I91" s="127">
        <v>6666.666666666667</v>
      </c>
      <c r="J91">
        <v>18900</v>
      </c>
      <c r="K91">
        <v>12800</v>
      </c>
      <c r="L91" s="128">
        <v>962207.14285714296</v>
      </c>
      <c r="M91" s="124">
        <v>1957300</v>
      </c>
      <c r="N91" s="153">
        <v>1099233.3333333335</v>
      </c>
      <c r="O91" s="128">
        <v>2391178.0597557211</v>
      </c>
      <c r="P91" s="124">
        <v>3514984.3011869648</v>
      </c>
      <c r="Q91" s="124">
        <v>3079699.0095263887</v>
      </c>
      <c r="R91" s="129">
        <v>0.15312261199145497</v>
      </c>
      <c r="S91" s="126">
        <v>0.24987599548798925</v>
      </c>
      <c r="T91" s="126">
        <v>0.19081882844108319</v>
      </c>
    </row>
    <row r="92" spans="3:22" x14ac:dyDescent="0.35">
      <c r="D92">
        <v>500</v>
      </c>
      <c r="E92">
        <v>150000</v>
      </c>
      <c r="F92">
        <v>500</v>
      </c>
      <c r="G92">
        <v>156</v>
      </c>
      <c r="H92">
        <v>79</v>
      </c>
      <c r="I92" s="127">
        <v>16666.666666666668</v>
      </c>
      <c r="J92">
        <v>46800</v>
      </c>
      <c r="K92">
        <v>31600</v>
      </c>
      <c r="L92" s="128">
        <v>2402850</v>
      </c>
      <c r="M92" s="124">
        <v>4844949.9999999991</v>
      </c>
      <c r="N92" s="153">
        <v>2711333.3333333335</v>
      </c>
      <c r="O92" s="128">
        <v>5977945.1493893033</v>
      </c>
      <c r="P92" s="124">
        <v>8787460.7529674117</v>
      </c>
      <c r="Q92" s="124">
        <v>7699247.5238159718</v>
      </c>
      <c r="R92" s="129">
        <v>0.15307388400711056</v>
      </c>
      <c r="S92" s="126">
        <v>0.24899380370716731</v>
      </c>
      <c r="T92" s="126">
        <v>0.19014759556437086</v>
      </c>
      <c r="V92" t="s">
        <v>303</v>
      </c>
    </row>
    <row r="93" spans="3:22" x14ac:dyDescent="0.35">
      <c r="D93">
        <v>1000</v>
      </c>
      <c r="E93">
        <v>300000</v>
      </c>
      <c r="F93">
        <v>1000</v>
      </c>
      <c r="G93">
        <v>311</v>
      </c>
      <c r="H93">
        <v>158</v>
      </c>
      <c r="I93" s="127">
        <v>33333.333333333336</v>
      </c>
      <c r="J93">
        <v>93300</v>
      </c>
      <c r="K93">
        <v>63200</v>
      </c>
      <c r="L93" s="128">
        <v>4803921.4285714282</v>
      </c>
      <c r="M93" s="124">
        <v>9657699.9999999981</v>
      </c>
      <c r="N93" s="153">
        <v>5421033.333333333</v>
      </c>
      <c r="O93" s="128">
        <v>11955890.298778607</v>
      </c>
      <c r="P93" s="124">
        <v>17574921.505934823</v>
      </c>
      <c r="Q93" s="124">
        <v>15398495.047631944</v>
      </c>
      <c r="R93" s="129">
        <v>0.15305764134566241</v>
      </c>
      <c r="S93" s="126">
        <v>0.24869973978022666</v>
      </c>
      <c r="T93" s="126">
        <v>0.19013267927822172</v>
      </c>
      <c r="V93" t="s">
        <v>304</v>
      </c>
    </row>
    <row r="94" spans="3:22" x14ac:dyDescent="0.35">
      <c r="C94" t="s">
        <v>397</v>
      </c>
    </row>
    <row r="95" spans="3:22" x14ac:dyDescent="0.35">
      <c r="C95" t="s">
        <v>302</v>
      </c>
      <c r="D95" t="s">
        <v>396</v>
      </c>
      <c r="E95" t="s">
        <v>275</v>
      </c>
      <c r="F95" t="s">
        <v>278</v>
      </c>
      <c r="G95" t="s">
        <v>277</v>
      </c>
      <c r="H95" t="s">
        <v>398</v>
      </c>
      <c r="I95" t="s">
        <v>298</v>
      </c>
      <c r="J95" t="s">
        <v>299</v>
      </c>
      <c r="K95" t="s">
        <v>300</v>
      </c>
      <c r="L95" t="s">
        <v>301</v>
      </c>
      <c r="M95" t="s">
        <v>273</v>
      </c>
      <c r="N95" t="s">
        <v>395</v>
      </c>
      <c r="Q95" t="s">
        <v>305</v>
      </c>
      <c r="R95" t="s">
        <v>306</v>
      </c>
    </row>
    <row r="96" spans="3:22" x14ac:dyDescent="0.35">
      <c r="C96">
        <v>150</v>
      </c>
      <c r="D96" cm="1">
        <f t="array" ref="D96:D100">100*D86:D90</f>
        <v>500</v>
      </c>
      <c r="E96" s="84" cm="1">
        <f t="array" ref="E96:E100">_xlfn.ANCHORARRAY(D96)*C96/C98</f>
        <v>882.35294117647061</v>
      </c>
      <c r="F96" s="124" cm="1">
        <f t="array" ref="F96:F100">_xlfn.ANCHORARRAY(E96)*365</f>
        <v>322058.82352941175</v>
      </c>
      <c r="G96" cm="1">
        <f t="array" ref="G96:G100">_xlfn.CEILING.MATH(_xlfn.ANCHORARRAY(D96)/(24*H78*C98))</f>
        <v>1</v>
      </c>
      <c r="H96" s="84" cm="1">
        <f t="array" ref="H96:H100">C96*_xlfn.ANCHORARRAY(G96)</f>
        <v>150</v>
      </c>
      <c r="I96" cm="1">
        <f t="array" ref="I96:I100">(H2+H3*_xlfn.ANCHORARRAY(H96))*(1+H4*H5)*(1+H13*H14)</f>
        <v>2081518.3527291263</v>
      </c>
      <c r="J96" cm="1">
        <f t="array" ref="J96:J100">(H44+H45*_xlfn.ANCHORARRAY(H96)*H18+H17)/H18</f>
        <v>46500</v>
      </c>
      <c r="K96" s="23" cm="1">
        <f t="array" ref="K96:K100">(_xlfn.ANCHORARRAY(I96)+_xlfn.ANCHORARRAY(J96))*(1+world!H2*H5/2)/H5</f>
        <v>106400.91763645632</v>
      </c>
      <c r="L96" s="23" cm="1">
        <f t="array" ref="L96:L100">_xlfn.ANCHORARRAY(F96)*(H80+H81)</f>
        <v>42861.948855750095</v>
      </c>
      <c r="M96" s="126" cm="1">
        <f t="array" ref="M96:M100">(_xlfn.ANCHORARRAY(K96)+_xlfn.ANCHORARRAY(L96))/_xlfn.ANCHORARRAY(F96)+C102</f>
        <v>0.47816095038204326</v>
      </c>
      <c r="N96" s="126" cm="1">
        <f t="array" ref="N96:N100">(_xlfn.ANCHORARRAY(K96)+_xlfn.ANCHORARRAY(F96)*H80)/_xlfn.ANCHORARRAY(F96)</f>
        <v>0.35299186581210851</v>
      </c>
      <c r="P96" s="84"/>
      <c r="Q96" s="84" cm="1">
        <f t="array" ref="Q96:Q100">_xlfn.ANCHORARRAY(D96)*vehicles!E77*365</f>
        <v>1825000</v>
      </c>
      <c r="R96" s="84" cm="1">
        <f t="array" ref="R96:R100">_xlfn.ANCHORARRAY(D96)*C96/C98*365</f>
        <v>322058.82352941175</v>
      </c>
    </row>
    <row r="97" spans="3:27" x14ac:dyDescent="0.35">
      <c r="C97" t="s">
        <v>276</v>
      </c>
      <c r="D97">
        <v>1000</v>
      </c>
      <c r="E97" s="84">
        <v>1764.7058823529412</v>
      </c>
      <c r="F97" s="124">
        <v>644117.6470588235</v>
      </c>
      <c r="G97">
        <v>2</v>
      </c>
      <c r="H97" s="84">
        <v>300</v>
      </c>
      <c r="I97">
        <v>2217692.4505712185</v>
      </c>
      <c r="J97">
        <v>91500</v>
      </c>
      <c r="K97" s="23">
        <v>115459.62252856093</v>
      </c>
      <c r="L97" s="23">
        <v>85723.897711500191</v>
      </c>
      <c r="M97" s="126">
        <v>0.32703605388396295</v>
      </c>
      <c r="N97">
        <v>0.20186696931402826</v>
      </c>
      <c r="Q97" s="84">
        <v>3650000</v>
      </c>
      <c r="R97" s="84">
        <v>644117.6470588235</v>
      </c>
    </row>
    <row r="98" spans="3:27" x14ac:dyDescent="0.35">
      <c r="C98">
        <v>85</v>
      </c>
      <c r="D98">
        <v>2000</v>
      </c>
      <c r="E98" s="84">
        <v>3529.4117647058824</v>
      </c>
      <c r="F98" s="124">
        <v>1288235.294117647</v>
      </c>
      <c r="G98">
        <v>4</v>
      </c>
      <c r="H98" s="84">
        <v>600</v>
      </c>
      <c r="I98">
        <v>2490040.6462554028</v>
      </c>
      <c r="J98">
        <v>181500</v>
      </c>
      <c r="K98" s="23">
        <v>133577.03231277014</v>
      </c>
      <c r="L98" s="23">
        <v>171447.79542300038</v>
      </c>
      <c r="M98" s="126">
        <v>0.25147360563492277</v>
      </c>
      <c r="N98">
        <v>0.1263045210649881</v>
      </c>
      <c r="Q98" s="84">
        <v>7300000</v>
      </c>
      <c r="R98" s="84">
        <v>1288235.294117647</v>
      </c>
    </row>
    <row r="99" spans="3:27" x14ac:dyDescent="0.35">
      <c r="C99" t="s">
        <v>280</v>
      </c>
      <c r="D99">
        <v>5000</v>
      </c>
      <c r="E99" s="84">
        <v>8823.5294117647063</v>
      </c>
      <c r="F99" s="124">
        <v>3220588.2352941176</v>
      </c>
      <c r="G99">
        <v>10</v>
      </c>
      <c r="H99" s="84">
        <v>1500</v>
      </c>
      <c r="I99">
        <v>3307085.2333079576</v>
      </c>
      <c r="J99">
        <v>451500</v>
      </c>
      <c r="K99" s="23">
        <v>187929.26166539788</v>
      </c>
      <c r="L99" s="23">
        <v>428619.488557501</v>
      </c>
      <c r="M99" s="126">
        <v>0.20613613668549879</v>
      </c>
      <c r="N99">
        <v>8.0967052115564042E-2</v>
      </c>
      <c r="Q99" s="84">
        <v>18250000</v>
      </c>
      <c r="R99" s="84">
        <v>3220588.2352941176</v>
      </c>
    </row>
    <row r="100" spans="3:27" x14ac:dyDescent="0.35">
      <c r="C100" s="42">
        <v>0.5</v>
      </c>
      <c r="D100">
        <v>10000</v>
      </c>
      <c r="E100" s="84">
        <v>17647.058823529413</v>
      </c>
      <c r="F100" s="124">
        <v>6441176.4705882352</v>
      </c>
      <c r="G100">
        <v>19</v>
      </c>
      <c r="H100" s="84">
        <v>2850</v>
      </c>
      <c r="I100">
        <v>4532652.1138867885</v>
      </c>
      <c r="J100">
        <v>856500</v>
      </c>
      <c r="K100" s="23">
        <v>269457.60569433944</v>
      </c>
      <c r="L100" s="23">
        <v>857238.977115002</v>
      </c>
      <c r="M100" s="126">
        <v>0.18961727276020418</v>
      </c>
      <c r="N100">
        <v>6.4448188190269456E-2</v>
      </c>
      <c r="Q100" s="84">
        <v>36500000</v>
      </c>
      <c r="R100" s="84">
        <v>6441176.4705882352</v>
      </c>
    </row>
    <row r="101" spans="3:27" x14ac:dyDescent="0.35">
      <c r="C101" t="s">
        <v>279</v>
      </c>
      <c r="E101" s="84"/>
      <c r="F101" s="23"/>
      <c r="H101" s="84"/>
      <c r="K101" s="23"/>
      <c r="L101" s="23"/>
      <c r="M101" s="126"/>
    </row>
    <row r="102" spans="3:27" x14ac:dyDescent="0.35">
      <c r="C102" s="14">
        <f>(E8+E9*C96)/(E10*vehicles!E84*vehicles!E106*C100)</f>
        <v>1.4696342095740209E-2</v>
      </c>
      <c r="E102" s="84"/>
      <c r="F102" s="23"/>
      <c r="H102" s="84"/>
      <c r="K102" s="23"/>
      <c r="L102" s="23"/>
      <c r="M102" s="126"/>
    </row>
    <row r="103" spans="3:27" x14ac:dyDescent="0.35">
      <c r="E103" s="84"/>
      <c r="F103" s="23"/>
      <c r="H103" s="84"/>
      <c r="I103" s="23"/>
      <c r="J103" s="23"/>
      <c r="K103" s="14"/>
      <c r="T103" t="s">
        <v>307</v>
      </c>
      <c r="U103" t="s">
        <v>307</v>
      </c>
      <c r="V103" t="s">
        <v>307</v>
      </c>
      <c r="W103" t="s">
        <v>307</v>
      </c>
      <c r="X103" t="s">
        <v>308</v>
      </c>
      <c r="Y103" t="s">
        <v>308</v>
      </c>
      <c r="Z103" t="s">
        <v>308</v>
      </c>
      <c r="AA103" t="s">
        <v>308</v>
      </c>
    </row>
    <row r="104" spans="3:27" x14ac:dyDescent="0.35">
      <c r="C104" s="6"/>
    </row>
    <row r="105" spans="3:27" x14ac:dyDescent="0.35">
      <c r="C105" t="s">
        <v>284</v>
      </c>
      <c r="T105" t="s">
        <v>310</v>
      </c>
    </row>
    <row r="106" spans="3:27" x14ac:dyDescent="0.35">
      <c r="C106" t="s">
        <v>285</v>
      </c>
      <c r="T106" t="s">
        <v>311</v>
      </c>
    </row>
    <row r="107" spans="3:27" x14ac:dyDescent="0.35">
      <c r="T107" t="e">
        <f>(#REF!+1)*vehicles!E77*C98/C96</f>
        <v>#REF!</v>
      </c>
    </row>
    <row r="108" spans="3:27" x14ac:dyDescent="0.35">
      <c r="E108" t="s">
        <v>286</v>
      </c>
      <c r="F108" t="s">
        <v>287</v>
      </c>
      <c r="G108" t="s">
        <v>288</v>
      </c>
      <c r="H108" t="s">
        <v>289</v>
      </c>
      <c r="M108" t="s">
        <v>302</v>
      </c>
    </row>
    <row r="109" spans="3:27" x14ac:dyDescent="0.35">
      <c r="E109">
        <v>0.4</v>
      </c>
      <c r="F109" s="14">
        <f>vehicles!E77</f>
        <v>10</v>
      </c>
      <c r="G109">
        <f>C96/C98</f>
        <v>1.7647058823529411</v>
      </c>
      <c r="H109" s="126" cm="1">
        <f t="array" ref="H109:H117">(E109:E117+1)*F109:F117/G109:G117</f>
        <v>7.9333333333333336</v>
      </c>
      <c r="M109">
        <v>100</v>
      </c>
      <c r="N109">
        <v>200</v>
      </c>
      <c r="O109">
        <v>300</v>
      </c>
      <c r="P109">
        <v>400</v>
      </c>
      <c r="Q109">
        <v>500</v>
      </c>
      <c r="R109">
        <v>600</v>
      </c>
      <c r="T109" s="14"/>
    </row>
    <row r="110" spans="3:27" x14ac:dyDescent="0.35">
      <c r="E110">
        <v>0.6</v>
      </c>
      <c r="F110" s="14">
        <f t="shared" ref="F110:F117" si="9">F109</f>
        <v>10</v>
      </c>
      <c r="G110">
        <f t="shared" ref="G110:G117" si="10">G109</f>
        <v>1.7647058823529411</v>
      </c>
      <c r="H110" s="126">
        <v>9.0666666666666664</v>
      </c>
    </row>
    <row r="111" spans="3:27" x14ac:dyDescent="0.35">
      <c r="E111">
        <v>0.8</v>
      </c>
      <c r="F111" s="14">
        <f t="shared" si="9"/>
        <v>10</v>
      </c>
      <c r="G111">
        <f t="shared" si="10"/>
        <v>1.7647058823529411</v>
      </c>
      <c r="H111" s="126">
        <v>10.200000000000001</v>
      </c>
    </row>
    <row r="112" spans="3:27" x14ac:dyDescent="0.35">
      <c r="E112">
        <v>1</v>
      </c>
      <c r="F112" s="14">
        <f t="shared" si="9"/>
        <v>10</v>
      </c>
      <c r="G112">
        <f t="shared" si="10"/>
        <v>1.7647058823529411</v>
      </c>
      <c r="H112" s="126">
        <v>11.333333333333334</v>
      </c>
    </row>
    <row r="113" spans="5:20" x14ac:dyDescent="0.35">
      <c r="E113">
        <v>1.2</v>
      </c>
      <c r="F113" s="14">
        <f t="shared" si="9"/>
        <v>10</v>
      </c>
      <c r="G113">
        <f t="shared" si="10"/>
        <v>1.7647058823529411</v>
      </c>
      <c r="H113" s="126">
        <v>12.466666666666667</v>
      </c>
    </row>
    <row r="114" spans="5:20" x14ac:dyDescent="0.35">
      <c r="E114">
        <v>1.4</v>
      </c>
      <c r="F114" s="14">
        <f t="shared" si="9"/>
        <v>10</v>
      </c>
      <c r="G114">
        <f t="shared" si="10"/>
        <v>1.7647058823529411</v>
      </c>
      <c r="H114" s="126">
        <v>13.6</v>
      </c>
      <c r="T114">
        <f>C96/C98</f>
        <v>1.7647058823529411</v>
      </c>
    </row>
    <row r="115" spans="5:20" x14ac:dyDescent="0.35">
      <c r="E115">
        <v>1.6</v>
      </c>
      <c r="F115" s="14">
        <f t="shared" si="9"/>
        <v>10</v>
      </c>
      <c r="G115">
        <f t="shared" si="10"/>
        <v>1.7647058823529411</v>
      </c>
      <c r="H115" s="126">
        <v>14.733333333333334</v>
      </c>
      <c r="T115" s="137">
        <f>vehicles!E77</f>
        <v>10</v>
      </c>
    </row>
    <row r="116" spans="5:20" x14ac:dyDescent="0.35">
      <c r="E116">
        <v>1.8</v>
      </c>
      <c r="F116" s="14">
        <f t="shared" si="9"/>
        <v>10</v>
      </c>
      <c r="G116">
        <f t="shared" si="10"/>
        <v>1.7647058823529411</v>
      </c>
      <c r="H116" s="126">
        <v>15.866666666666667</v>
      </c>
      <c r="T116">
        <f>T115*C98</f>
        <v>850</v>
      </c>
    </row>
    <row r="117" spans="5:20" x14ac:dyDescent="0.35">
      <c r="E117">
        <v>2</v>
      </c>
      <c r="F117" s="14">
        <f t="shared" si="9"/>
        <v>10</v>
      </c>
      <c r="G117">
        <f t="shared" si="10"/>
        <v>1.7647058823529411</v>
      </c>
      <c r="H117" s="126">
        <v>17</v>
      </c>
    </row>
  </sheetData>
  <mergeCells count="1">
    <mergeCell ref="E48:H48"/>
  </mergeCells>
  <phoneticPr fontId="18" type="noConversion"/>
  <conditionalFormatting sqref="E50:E73">
    <cfRule type="dataBar" priority="19">
      <dataBar>
        <cfvo type="num" val="0"/>
        <cfvo type="num" val="1"/>
        <color rgb="FF638EC6"/>
      </dataBar>
      <extLst>
        <ext xmlns:x14="http://schemas.microsoft.com/office/spreadsheetml/2009/9/main" uri="{B025F937-C7B1-47D3-B67F-A62EFF666E3E}">
          <x14:id>{B74891AA-5C18-41D1-8921-4E5EF700FD32}</x14:id>
        </ext>
      </extLst>
    </cfRule>
  </conditionalFormatting>
  <conditionalFormatting sqref="F50:F73">
    <cfRule type="dataBar" priority="15">
      <dataBar>
        <cfvo type="num" val="0"/>
        <cfvo type="num" val="1"/>
        <color rgb="FF638EC6"/>
      </dataBar>
      <extLst>
        <ext xmlns:x14="http://schemas.microsoft.com/office/spreadsheetml/2009/9/main" uri="{B025F937-C7B1-47D3-B67F-A62EFF666E3E}">
          <x14:id>{C74D4B04-14B0-48D8-BB6A-F71EBC0D2AD4}</x14:id>
        </ext>
      </extLst>
    </cfRule>
  </conditionalFormatting>
  <conditionalFormatting sqref="G50:G73">
    <cfRule type="dataBar" priority="1">
      <dataBar>
        <cfvo type="num" val="0"/>
        <cfvo type="num" val="1"/>
        <color rgb="FF638EC6"/>
      </dataBar>
      <extLst>
        <ext xmlns:x14="http://schemas.microsoft.com/office/spreadsheetml/2009/9/main" uri="{B025F937-C7B1-47D3-B67F-A62EFF666E3E}">
          <x14:id>{C22594D5-91B6-4322-8C3D-CC057936C602}</x14:id>
        </ext>
      </extLst>
    </cfRule>
  </conditionalFormatting>
  <conditionalFormatting sqref="H50:H73">
    <cfRule type="dataBar" priority="2">
      <dataBar>
        <cfvo type="num" val="0"/>
        <cfvo type="num" val="1"/>
        <color rgb="FF638EC6"/>
      </dataBar>
      <extLst>
        <ext xmlns:x14="http://schemas.microsoft.com/office/spreadsheetml/2009/9/main" uri="{B025F937-C7B1-47D3-B67F-A62EFF666E3E}">
          <x14:id>{6ABE300D-7B09-4C21-8B5F-2F6362B09782}</x14:id>
        </ext>
      </extLst>
    </cfRule>
  </conditionalFormatting>
  <conditionalFormatting sqref="I50:I73">
    <cfRule type="dataBar" priority="5">
      <dataBar>
        <cfvo type="min"/>
        <cfvo type="max"/>
        <color rgb="FF63C384"/>
      </dataBar>
      <extLst>
        <ext xmlns:x14="http://schemas.microsoft.com/office/spreadsheetml/2009/9/main" uri="{B025F937-C7B1-47D3-B67F-A62EFF666E3E}">
          <x14:id>{46F9F328-FB13-429D-BDF2-119630353799}</x14:id>
        </ext>
      </extLst>
    </cfRule>
  </conditionalFormatting>
  <conditionalFormatting sqref="K50:K56">
    <cfRule type="dataBar" priority="17">
      <dataBar>
        <cfvo type="num" val="0"/>
        <cfvo type="num" val="1"/>
        <color rgb="FF638EC6"/>
      </dataBar>
      <extLst>
        <ext xmlns:x14="http://schemas.microsoft.com/office/spreadsheetml/2009/9/main" uri="{B025F937-C7B1-47D3-B67F-A62EFF666E3E}">
          <x14:id>{481F53AA-3DA0-44EC-AAA2-AB5AAF18978C}</x14:id>
        </ext>
      </extLst>
    </cfRule>
  </conditionalFormatting>
  <conditionalFormatting sqref="K60:K71">
    <cfRule type="dataBar" priority="16">
      <dataBar>
        <cfvo type="num" val="0"/>
        <cfvo type="num" val="1"/>
        <color rgb="FF638EC6"/>
      </dataBar>
      <extLst>
        <ext xmlns:x14="http://schemas.microsoft.com/office/spreadsheetml/2009/9/main" uri="{B025F937-C7B1-47D3-B67F-A62EFF666E3E}">
          <x14:id>{C40D696F-76CF-4993-B3E6-C4B295BCDC4E}</x14:id>
        </ext>
      </extLst>
    </cfRule>
  </conditionalFormatting>
  <conditionalFormatting sqref="N96:N100">
    <cfRule type="dataBar" priority="6">
      <dataBar>
        <cfvo type="min"/>
        <cfvo type="max"/>
        <color rgb="FFFFB628"/>
      </dataBar>
      <extLst>
        <ext xmlns:x14="http://schemas.microsoft.com/office/spreadsheetml/2009/9/main" uri="{B025F937-C7B1-47D3-B67F-A62EFF666E3E}">
          <x14:id>{0BA02AB3-7B74-494E-8265-A5655D17F431}</x14:id>
        </ext>
      </extLst>
    </cfRule>
  </conditionalFormatting>
  <conditionalFormatting sqref="R86:T93 K103 M96:M102">
    <cfRule type="dataBar" priority="7">
      <dataBar>
        <cfvo type="min"/>
        <cfvo type="max"/>
        <color rgb="FFFFB628"/>
      </dataBar>
      <extLst>
        <ext xmlns:x14="http://schemas.microsoft.com/office/spreadsheetml/2009/9/main" uri="{B025F937-C7B1-47D3-B67F-A62EFF666E3E}">
          <x14:id>{AC714D50-9096-4AE9-B421-39F1B007A27D}</x14:id>
        </ext>
      </extLst>
    </cfRule>
  </conditionalFormatting>
  <conditionalFormatting sqref="AB49:AB72">
    <cfRule type="dataBar" priority="4">
      <dataBar>
        <cfvo type="num" val="0"/>
        <cfvo type="num" val="1"/>
        <color rgb="FF638EC6"/>
      </dataBar>
      <extLst>
        <ext xmlns:x14="http://schemas.microsoft.com/office/spreadsheetml/2009/9/main" uri="{B025F937-C7B1-47D3-B67F-A62EFF666E3E}">
          <x14:id>{5C66C722-8CFF-43DD-BE26-1D4EB5475067}</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B74891AA-5C18-41D1-8921-4E5EF700FD32}">
            <x14:dataBar minLength="0" maxLength="100" gradient="0">
              <x14:cfvo type="num">
                <xm:f>0</xm:f>
              </x14:cfvo>
              <x14:cfvo type="num">
                <xm:f>1</xm:f>
              </x14:cfvo>
              <x14:negativeFillColor rgb="FFFF0000"/>
              <x14:axisColor rgb="FF000000"/>
            </x14:dataBar>
          </x14:cfRule>
          <xm:sqref>E50:E73</xm:sqref>
        </x14:conditionalFormatting>
        <x14:conditionalFormatting xmlns:xm="http://schemas.microsoft.com/office/excel/2006/main">
          <x14:cfRule type="dataBar" id="{C74D4B04-14B0-48D8-BB6A-F71EBC0D2AD4}">
            <x14:dataBar minLength="0" maxLength="100" gradient="0">
              <x14:cfvo type="num">
                <xm:f>0</xm:f>
              </x14:cfvo>
              <x14:cfvo type="num">
                <xm:f>1</xm:f>
              </x14:cfvo>
              <x14:negativeFillColor rgb="FFFF0000"/>
              <x14:axisColor rgb="FF000000"/>
            </x14:dataBar>
          </x14:cfRule>
          <xm:sqref>F50:F73</xm:sqref>
        </x14:conditionalFormatting>
        <x14:conditionalFormatting xmlns:xm="http://schemas.microsoft.com/office/excel/2006/main">
          <x14:cfRule type="dataBar" id="{C22594D5-91B6-4322-8C3D-CC057936C602}">
            <x14:dataBar minLength="0" maxLength="100" gradient="0">
              <x14:cfvo type="num">
                <xm:f>0</xm:f>
              </x14:cfvo>
              <x14:cfvo type="num">
                <xm:f>1</xm:f>
              </x14:cfvo>
              <x14:negativeFillColor rgb="FFFF0000"/>
              <x14:axisColor rgb="FF000000"/>
            </x14:dataBar>
          </x14:cfRule>
          <xm:sqref>G50:G73</xm:sqref>
        </x14:conditionalFormatting>
        <x14:conditionalFormatting xmlns:xm="http://schemas.microsoft.com/office/excel/2006/main">
          <x14:cfRule type="dataBar" id="{6ABE300D-7B09-4C21-8B5F-2F6362B09782}">
            <x14:dataBar minLength="0" maxLength="100" gradient="0">
              <x14:cfvo type="num">
                <xm:f>0</xm:f>
              </x14:cfvo>
              <x14:cfvo type="num">
                <xm:f>1</xm:f>
              </x14:cfvo>
              <x14:negativeFillColor rgb="FFFF0000"/>
              <x14:axisColor rgb="FF000000"/>
            </x14:dataBar>
          </x14:cfRule>
          <xm:sqref>H50:H73</xm:sqref>
        </x14:conditionalFormatting>
        <x14:conditionalFormatting xmlns:xm="http://schemas.microsoft.com/office/excel/2006/main">
          <x14:cfRule type="dataBar" id="{46F9F328-FB13-429D-BDF2-119630353799}">
            <x14:dataBar minLength="0" maxLength="100" gradient="0">
              <x14:cfvo type="autoMin"/>
              <x14:cfvo type="autoMax"/>
              <x14:negativeFillColor rgb="FFFF0000"/>
              <x14:axisColor rgb="FF000000"/>
            </x14:dataBar>
          </x14:cfRule>
          <xm:sqref>I50:I73</xm:sqref>
        </x14:conditionalFormatting>
        <x14:conditionalFormatting xmlns:xm="http://schemas.microsoft.com/office/excel/2006/main">
          <x14:cfRule type="dataBar" id="{481F53AA-3DA0-44EC-AAA2-AB5AAF18978C}">
            <x14:dataBar minLength="0" maxLength="100" gradient="0">
              <x14:cfvo type="num">
                <xm:f>0</xm:f>
              </x14:cfvo>
              <x14:cfvo type="num">
                <xm:f>1</xm:f>
              </x14:cfvo>
              <x14:negativeFillColor rgb="FFFF0000"/>
              <x14:axisColor rgb="FF000000"/>
            </x14:dataBar>
          </x14:cfRule>
          <xm:sqref>K50:K56</xm:sqref>
        </x14:conditionalFormatting>
        <x14:conditionalFormatting xmlns:xm="http://schemas.microsoft.com/office/excel/2006/main">
          <x14:cfRule type="dataBar" id="{C40D696F-76CF-4993-B3E6-C4B295BCDC4E}">
            <x14:dataBar minLength="0" maxLength="100" gradient="0">
              <x14:cfvo type="num">
                <xm:f>0</xm:f>
              </x14:cfvo>
              <x14:cfvo type="num">
                <xm:f>1</xm:f>
              </x14:cfvo>
              <x14:negativeFillColor rgb="FFFF0000"/>
              <x14:axisColor rgb="FF000000"/>
            </x14:dataBar>
          </x14:cfRule>
          <xm:sqref>K60:K71</xm:sqref>
        </x14:conditionalFormatting>
        <x14:conditionalFormatting xmlns:xm="http://schemas.microsoft.com/office/excel/2006/main">
          <x14:cfRule type="dataBar" id="{0BA02AB3-7B74-494E-8265-A5655D17F431}">
            <x14:dataBar minLength="0" maxLength="100" gradient="0">
              <x14:cfvo type="autoMin"/>
              <x14:cfvo type="autoMax"/>
              <x14:negativeFillColor rgb="FFFF0000"/>
              <x14:axisColor rgb="FF000000"/>
            </x14:dataBar>
          </x14:cfRule>
          <xm:sqref>N96:N100</xm:sqref>
        </x14:conditionalFormatting>
        <x14:conditionalFormatting xmlns:xm="http://schemas.microsoft.com/office/excel/2006/main">
          <x14:cfRule type="dataBar" id="{AC714D50-9096-4AE9-B421-39F1B007A27D}">
            <x14:dataBar minLength="0" maxLength="100" gradient="0">
              <x14:cfvo type="autoMin"/>
              <x14:cfvo type="autoMax"/>
              <x14:negativeFillColor rgb="FFFF0000"/>
              <x14:axisColor rgb="FF000000"/>
            </x14:dataBar>
          </x14:cfRule>
          <xm:sqref>R86:T93 K103 M96:M102</xm:sqref>
        </x14:conditionalFormatting>
        <x14:conditionalFormatting xmlns:xm="http://schemas.microsoft.com/office/excel/2006/main">
          <x14:cfRule type="dataBar" id="{5C66C722-8CFF-43DD-BE26-1D4EB5475067}">
            <x14:dataBar minLength="0" maxLength="100" gradient="0">
              <x14:cfvo type="num">
                <xm:f>0</xm:f>
              </x14:cfvo>
              <x14:cfvo type="num">
                <xm:f>1</xm:f>
              </x14:cfvo>
              <x14:negativeFillColor rgb="FFFF0000"/>
              <x14:axisColor rgb="FF000000"/>
            </x14:dataBar>
          </x14:cfRule>
          <xm:sqref>AB49:AB72</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DBE00-03D5-4A27-8126-CADF324158A4}">
  <dimension ref="A1:V72"/>
  <sheetViews>
    <sheetView zoomScaleNormal="100" workbookViewId="0">
      <selection activeCell="L6" sqref="L6"/>
    </sheetView>
  </sheetViews>
  <sheetFormatPr defaultColWidth="8.81640625" defaultRowHeight="14.5" x14ac:dyDescent="0.35"/>
  <cols>
    <col min="3" max="3" width="39.453125" bestFit="1" customWidth="1"/>
    <col min="4" max="4" width="26.36328125" bestFit="1" customWidth="1"/>
    <col min="5" max="5" width="9.26953125" customWidth="1"/>
    <col min="12" max="12" width="13.1796875" bestFit="1" customWidth="1"/>
    <col min="13" max="13" width="15.453125" customWidth="1"/>
    <col min="14" max="15" width="66.36328125" customWidth="1"/>
  </cols>
  <sheetData>
    <row r="1" spans="1:16" ht="15" thickBot="1" x14ac:dyDescent="0.4">
      <c r="A1" s="47" t="s">
        <v>80</v>
      </c>
      <c r="B1" s="47" t="s">
        <v>82</v>
      </c>
      <c r="C1" s="47" t="s">
        <v>81</v>
      </c>
      <c r="D1" s="47" t="s">
        <v>83</v>
      </c>
      <c r="E1" s="47">
        <v>2020</v>
      </c>
      <c r="F1" s="47">
        <v>2025</v>
      </c>
      <c r="G1" s="47">
        <v>2030</v>
      </c>
      <c r="H1" s="47">
        <v>2035</v>
      </c>
      <c r="I1" s="47">
        <v>2040</v>
      </c>
      <c r="J1" s="47">
        <v>2045</v>
      </c>
      <c r="K1" s="47">
        <v>2050</v>
      </c>
      <c r="L1" s="47" t="s">
        <v>0</v>
      </c>
      <c r="M1" s="4" t="s">
        <v>98</v>
      </c>
      <c r="N1" s="4" t="s">
        <v>99</v>
      </c>
    </row>
    <row r="2" spans="1:16" x14ac:dyDescent="0.35">
      <c r="A2" t="s">
        <v>96</v>
      </c>
      <c r="B2" t="s">
        <v>88</v>
      </c>
      <c r="C2" t="s">
        <v>84</v>
      </c>
      <c r="D2" t="s">
        <v>85</v>
      </c>
      <c r="E2" s="48">
        <v>0.02</v>
      </c>
      <c r="F2" s="36" cm="1">
        <f t="array" ref="F2:K2">E2*POWER(1+$L2,F$1:K$1-$E$1)</f>
        <v>0.02</v>
      </c>
      <c r="G2" s="71">
        <v>0.02</v>
      </c>
      <c r="H2" s="71">
        <v>0.02</v>
      </c>
      <c r="I2" s="71">
        <v>0.02</v>
      </c>
      <c r="J2" s="71">
        <v>0.02</v>
      </c>
      <c r="K2" s="72">
        <v>0.02</v>
      </c>
      <c r="L2" s="9">
        <v>0</v>
      </c>
      <c r="M2" s="59" t="s">
        <v>623</v>
      </c>
      <c r="N2" s="61" t="s">
        <v>100</v>
      </c>
    </row>
    <row r="3" spans="1:16" x14ac:dyDescent="0.35">
      <c r="A3" t="s">
        <v>96</v>
      </c>
      <c r="B3" t="s">
        <v>88</v>
      </c>
      <c r="C3" t="s">
        <v>510</v>
      </c>
      <c r="D3" t="s">
        <v>85</v>
      </c>
      <c r="E3" s="48">
        <v>0.03</v>
      </c>
      <c r="F3" s="31" cm="1">
        <f t="array" ref="F3:K3">E3*POWER(1+$L3,F$1:K$1-$E$1)</f>
        <v>0.03</v>
      </c>
      <c r="G3" s="31">
        <v>0.03</v>
      </c>
      <c r="H3" s="31">
        <v>0.03</v>
      </c>
      <c r="I3" s="31">
        <v>0.03</v>
      </c>
      <c r="J3" s="31">
        <v>0.03</v>
      </c>
      <c r="K3" s="53">
        <v>0.03</v>
      </c>
      <c r="L3" s="9">
        <v>0</v>
      </c>
      <c r="M3" s="59" t="s">
        <v>626</v>
      </c>
      <c r="N3" s="61"/>
    </row>
    <row r="4" spans="1:16" x14ac:dyDescent="0.35">
      <c r="A4" t="s">
        <v>96</v>
      </c>
      <c r="B4" t="s">
        <v>88</v>
      </c>
      <c r="C4" t="s">
        <v>511</v>
      </c>
      <c r="D4" t="s">
        <v>85</v>
      </c>
      <c r="E4" s="48">
        <v>7.0000000000000007E-2</v>
      </c>
      <c r="F4" s="31" cm="1">
        <f t="array" ref="F4:K4">E4*POWER(1+$L4,F$1:K$1-$E$1)</f>
        <v>7.0000000000000007E-2</v>
      </c>
      <c r="G4" s="31">
        <v>7.0000000000000007E-2</v>
      </c>
      <c r="H4" s="31">
        <v>7.0000000000000007E-2</v>
      </c>
      <c r="I4" s="31">
        <v>7.0000000000000007E-2</v>
      </c>
      <c r="J4" s="31">
        <v>7.0000000000000007E-2</v>
      </c>
      <c r="K4" s="53">
        <v>7.0000000000000007E-2</v>
      </c>
      <c r="L4" s="9">
        <v>0</v>
      </c>
      <c r="M4" s="59" t="s">
        <v>625</v>
      </c>
      <c r="N4" s="61"/>
    </row>
    <row r="5" spans="1:16" x14ac:dyDescent="0.35">
      <c r="A5" t="s">
        <v>96</v>
      </c>
      <c r="B5" t="s">
        <v>88</v>
      </c>
      <c r="C5" t="s">
        <v>512</v>
      </c>
      <c r="D5" t="s">
        <v>85</v>
      </c>
      <c r="E5" s="176">
        <v>2.5</v>
      </c>
      <c r="F5" s="71" cm="1">
        <f t="array" ref="F5:K5">E5*POWER(1+$L5,F$1:K$1-$E$1)</f>
        <v>2.6667802829407314</v>
      </c>
      <c r="G5" s="71">
        <v>2.8446868309925804</v>
      </c>
      <c r="H5" s="71">
        <v>3.0344619008128673</v>
      </c>
      <c r="I5" s="71">
        <v>3.2368972665690436</v>
      </c>
      <c r="J5" s="71">
        <v>3.4528375233564308</v>
      </c>
      <c r="K5" s="72">
        <v>3.683183610993936</v>
      </c>
      <c r="L5" s="9">
        <v>1.2999999999999999E-2</v>
      </c>
      <c r="M5" s="59" t="s">
        <v>624</v>
      </c>
      <c r="N5" s="61"/>
    </row>
    <row r="6" spans="1:16" x14ac:dyDescent="0.35">
      <c r="A6" t="s">
        <v>96</v>
      </c>
      <c r="B6" t="s">
        <v>88</v>
      </c>
      <c r="C6" t="s">
        <v>672</v>
      </c>
      <c r="D6" t="s">
        <v>85</v>
      </c>
      <c r="E6" s="176">
        <v>0.15</v>
      </c>
      <c r="F6" s="71" cm="1">
        <f t="array" ref="F6:K6">_xlfn.SEQUENCE(1,6,E6+(L6-E6)/6,(L6-E6)/6)</f>
        <v>0.125</v>
      </c>
      <c r="G6" s="71">
        <v>0.1</v>
      </c>
      <c r="H6" s="71">
        <v>7.5000000000000011E-2</v>
      </c>
      <c r="I6" s="71">
        <v>5.0000000000000017E-2</v>
      </c>
      <c r="J6" s="71">
        <v>2.5000000000000019E-2</v>
      </c>
      <c r="K6" s="72">
        <v>0</v>
      </c>
      <c r="L6" s="242">
        <v>0</v>
      </c>
      <c r="M6" s="182" t="s">
        <v>77</v>
      </c>
      <c r="N6" s="61" t="s">
        <v>673</v>
      </c>
    </row>
    <row r="7" spans="1:16" x14ac:dyDescent="0.35">
      <c r="A7" t="s">
        <v>96</v>
      </c>
      <c r="B7" t="s">
        <v>294</v>
      </c>
      <c r="C7" t="s">
        <v>295</v>
      </c>
      <c r="D7" t="s">
        <v>24</v>
      </c>
      <c r="E7" s="134">
        <f>15/60</f>
        <v>0.25</v>
      </c>
      <c r="F7" s="74" cm="1">
        <f t="array" ref="F7:K7">E7*POWER(1+$L7,F$1:K$1-$E$1)</f>
        <v>0.21468350642499998</v>
      </c>
      <c r="G7" s="74">
        <v>0.18435603172373205</v>
      </c>
      <c r="H7" s="74">
        <v>0.15831279728419731</v>
      </c>
      <c r="I7" s="74">
        <v>0.13594858573168678</v>
      </c>
      <c r="J7" s="74">
        <v>0.11674367631359295</v>
      </c>
      <c r="K7" s="135">
        <v>0.1002517671357894</v>
      </c>
      <c r="L7" s="9">
        <v>-0.03</v>
      </c>
      <c r="M7" s="182" t="s">
        <v>627</v>
      </c>
      <c r="N7" s="61" t="s">
        <v>296</v>
      </c>
    </row>
    <row r="8" spans="1:16" x14ac:dyDescent="0.35">
      <c r="A8" t="s">
        <v>96</v>
      </c>
      <c r="B8" t="s">
        <v>93</v>
      </c>
      <c r="C8" t="s">
        <v>122</v>
      </c>
      <c r="D8" t="s">
        <v>90</v>
      </c>
      <c r="E8" s="50">
        <v>0.08</v>
      </c>
      <c r="F8" s="253">
        <f>AVERAGE(E8,G8)</f>
        <v>0.16500000000000001</v>
      </c>
      <c r="G8" s="253">
        <v>0.25</v>
      </c>
      <c r="H8" s="253">
        <f>AVERAGE(G8,I8)</f>
        <v>0.38750000000000001</v>
      </c>
      <c r="I8" s="253">
        <v>0.52500000000000002</v>
      </c>
      <c r="J8" s="253">
        <f>AVERAGE(I8,K8)</f>
        <v>0.66250000000000009</v>
      </c>
      <c r="K8" s="254">
        <v>0.8</v>
      </c>
      <c r="L8" s="9"/>
      <c r="M8" s="182" t="s">
        <v>676</v>
      </c>
      <c r="N8" s="60" t="s">
        <v>675</v>
      </c>
    </row>
    <row r="9" spans="1:16" x14ac:dyDescent="0.35">
      <c r="A9" t="s">
        <v>96</v>
      </c>
      <c r="B9" t="s">
        <v>93</v>
      </c>
      <c r="C9" t="s">
        <v>120</v>
      </c>
      <c r="D9" t="s">
        <v>121</v>
      </c>
      <c r="E9" s="51">
        <v>0.7</v>
      </c>
      <c r="F9" s="36">
        <f t="shared" ref="F9:K9" si="0">E9+$L9</f>
        <v>0.75</v>
      </c>
      <c r="G9" s="36">
        <f t="shared" si="0"/>
        <v>0.8</v>
      </c>
      <c r="H9" s="36">
        <f t="shared" si="0"/>
        <v>0.85000000000000009</v>
      </c>
      <c r="I9" s="36">
        <f t="shared" si="0"/>
        <v>0.90000000000000013</v>
      </c>
      <c r="J9" s="36">
        <f t="shared" si="0"/>
        <v>0.95000000000000018</v>
      </c>
      <c r="K9" s="8">
        <f t="shared" si="0"/>
        <v>1.0000000000000002</v>
      </c>
      <c r="L9" s="189">
        <v>0.05</v>
      </c>
      <c r="M9" s="5" t="s">
        <v>628</v>
      </c>
    </row>
    <row r="10" spans="1:16" ht="14.5" customHeight="1" x14ac:dyDescent="0.35">
      <c r="A10" t="s">
        <v>96</v>
      </c>
      <c r="B10" t="s">
        <v>557</v>
      </c>
      <c r="C10" t="s">
        <v>118</v>
      </c>
      <c r="D10" t="s">
        <v>87</v>
      </c>
      <c r="E10" s="50">
        <v>0.6</v>
      </c>
      <c r="F10" s="15" cm="1">
        <f t="array" ref="F10:K10">E10*POWER(1+$L10,F$1:K$1-$E$1)</f>
        <v>0.63687443035729918</v>
      </c>
      <c r="G10" s="15">
        <v>0.67601506673822387</v>
      </c>
      <c r="H10" s="15">
        <v>0.71756118423642989</v>
      </c>
      <c r="I10" s="15">
        <v>0.76166061742847546</v>
      </c>
      <c r="J10" s="15">
        <v>0.8084702864172485</v>
      </c>
      <c r="K10" s="16">
        <v>0.85815675520464607</v>
      </c>
      <c r="L10" s="189">
        <v>1.2E-2</v>
      </c>
      <c r="M10" t="s">
        <v>630</v>
      </c>
      <c r="N10" s="61"/>
      <c r="O10" s="63"/>
      <c r="P10" s="58"/>
    </row>
    <row r="11" spans="1:16" x14ac:dyDescent="0.35">
      <c r="A11" t="s">
        <v>96</v>
      </c>
      <c r="B11" t="s">
        <v>558</v>
      </c>
      <c r="C11" t="s">
        <v>118</v>
      </c>
      <c r="D11" t="s">
        <v>87</v>
      </c>
      <c r="E11" s="50">
        <v>1.5</v>
      </c>
      <c r="F11" s="14">
        <f>E11</f>
        <v>1.5</v>
      </c>
      <c r="G11" s="30" cm="1">
        <f t="array" ref="G11:K11">F11*POWER(1+$L11,G$1:K$1-$F$1)</f>
        <v>1.592186075893248</v>
      </c>
      <c r="H11" s="30">
        <v>1.6900376668455597</v>
      </c>
      <c r="I11" s="30">
        <v>1.7939029605910748</v>
      </c>
      <c r="J11" s="30">
        <v>1.9041515435711887</v>
      </c>
      <c r="K11" s="54">
        <v>2.0211757160431212</v>
      </c>
      <c r="L11" s="189">
        <v>1.2E-2</v>
      </c>
      <c r="M11" t="s">
        <v>632</v>
      </c>
      <c r="N11" s="60" t="s">
        <v>106</v>
      </c>
      <c r="O11" s="63"/>
      <c r="P11" s="58"/>
    </row>
    <row r="12" spans="1:16" x14ac:dyDescent="0.35">
      <c r="A12" t="s">
        <v>96</v>
      </c>
      <c r="B12" t="s">
        <v>558</v>
      </c>
      <c r="C12" t="s">
        <v>562</v>
      </c>
      <c r="D12" t="s">
        <v>560</v>
      </c>
      <c r="E12" s="203">
        <f>E13*0.35*4000000000*E5</f>
        <v>175000000</v>
      </c>
      <c r="F12" s="191" cm="1">
        <f t="array" ref="F12:K12">E12*POWER(1+$L12,F$1:K$1-$E$1)</f>
        <v>193214140.56</v>
      </c>
      <c r="G12" s="192">
        <v>213324023.49908251</v>
      </c>
      <c r="H12" s="192">
        <v>235526959.20672262</v>
      </c>
      <c r="I12" s="192">
        <v>260040794.29621199</v>
      </c>
      <c r="J12" s="192">
        <v>287106049.03132766</v>
      </c>
      <c r="K12" s="193">
        <v>316988277.21808684</v>
      </c>
      <c r="L12" s="205">
        <v>0.02</v>
      </c>
      <c r="M12" t="s">
        <v>631</v>
      </c>
      <c r="N12" s="60" t="s">
        <v>595</v>
      </c>
      <c r="O12" s="63" t="s">
        <v>563</v>
      </c>
      <c r="P12" s="58"/>
    </row>
    <row r="13" spans="1:16" x14ac:dyDescent="0.35">
      <c r="A13" t="s">
        <v>96</v>
      </c>
      <c r="B13" t="s">
        <v>558</v>
      </c>
      <c r="C13" t="s">
        <v>559</v>
      </c>
      <c r="D13" t="s">
        <v>2</v>
      </c>
      <c r="E13" s="201">
        <v>0.05</v>
      </c>
      <c r="F13" s="202">
        <v>0.06</v>
      </c>
      <c r="G13" s="202">
        <v>0.08</v>
      </c>
      <c r="H13" s="168">
        <f>1-(1-G13)*(1-$L13)^5</f>
        <v>0.28812153750000002</v>
      </c>
      <c r="I13" s="168">
        <f>1-(1-H13)*(1-$L13)^5</f>
        <v>0.44916201590069138</v>
      </c>
      <c r="J13" s="168">
        <f>1-(1-I13)*(1-$L13)^5</f>
        <v>0.57377206825302696</v>
      </c>
      <c r="K13" s="72">
        <f>1-(1-J13)*(1-$L13)^5</f>
        <v>0.67019295138414114</v>
      </c>
      <c r="L13" s="189">
        <v>0.05</v>
      </c>
      <c r="M13" s="42" t="s">
        <v>539</v>
      </c>
      <c r="N13" s="61" t="s">
        <v>553</v>
      </c>
      <c r="O13" s="169" t="s">
        <v>538</v>
      </c>
    </row>
    <row r="14" spans="1:16" x14ac:dyDescent="0.35">
      <c r="A14" t="s">
        <v>96</v>
      </c>
      <c r="B14" t="s">
        <v>557</v>
      </c>
      <c r="C14" t="s">
        <v>117</v>
      </c>
      <c r="D14" t="s">
        <v>89</v>
      </c>
      <c r="E14" s="49">
        <v>3.23</v>
      </c>
      <c r="F14" s="30" cm="1">
        <f t="array" ref="F14:K14">E14*POWER(1+$L14,F$1:K$1-$E$1)</f>
        <v>3.23</v>
      </c>
      <c r="G14" s="30">
        <v>3.23</v>
      </c>
      <c r="H14" s="30">
        <v>3.23</v>
      </c>
      <c r="I14" s="30">
        <v>3.23</v>
      </c>
      <c r="J14" s="30">
        <v>3.23</v>
      </c>
      <c r="K14" s="54">
        <v>3.23</v>
      </c>
      <c r="L14" s="190">
        <v>0</v>
      </c>
      <c r="M14" t="s">
        <v>633</v>
      </c>
      <c r="N14" s="58" t="s">
        <v>112</v>
      </c>
      <c r="O14" t="s">
        <v>646</v>
      </c>
    </row>
    <row r="15" spans="1:16" x14ac:dyDescent="0.35">
      <c r="A15" t="s">
        <v>96</v>
      </c>
      <c r="B15" t="s">
        <v>558</v>
      </c>
      <c r="C15" t="s">
        <v>117</v>
      </c>
      <c r="D15" t="s">
        <v>89</v>
      </c>
      <c r="E15" s="49">
        <v>0.67</v>
      </c>
      <c r="F15" s="30" cm="1">
        <f t="array" ref="F15:K15">E15*POWER(1+$L15,F$1:K$1-$E$1)</f>
        <v>0.51843322812500003</v>
      </c>
      <c r="G15" s="30">
        <v>0.40115374928971387</v>
      </c>
      <c r="H15" s="30">
        <v>0.31040512420703475</v>
      </c>
      <c r="I15" s="30">
        <v>0.24018556801372326</v>
      </c>
      <c r="J15" s="30">
        <v>0.18585101399162879</v>
      </c>
      <c r="K15" s="54">
        <v>0.14380797184176813</v>
      </c>
      <c r="L15" s="190">
        <v>-0.05</v>
      </c>
      <c r="M15" t="s">
        <v>634</v>
      </c>
      <c r="N15" s="61"/>
      <c r="O15" s="62"/>
    </row>
    <row r="16" spans="1:16" x14ac:dyDescent="0.35">
      <c r="A16" t="s">
        <v>96</v>
      </c>
      <c r="B16" t="s">
        <v>115</v>
      </c>
      <c r="C16" t="s">
        <v>118</v>
      </c>
      <c r="D16" t="s">
        <v>87</v>
      </c>
      <c r="E16" s="37" cm="1">
        <f t="array" ref="E16:K16">(1-E13:K13)*E10:K10+E13:K13*E11:K11</f>
        <v>0.64500000000000002</v>
      </c>
      <c r="F16" s="15">
        <v>0.68866196453586115</v>
      </c>
      <c r="G16" s="15">
        <v>0.74930874747062581</v>
      </c>
      <c r="H16" s="15">
        <v>0.99775260358836437</v>
      </c>
      <c r="I16" s="15">
        <v>1.2253046691814418</v>
      </c>
      <c r="J16" s="15">
        <v>1.4371415874805415</v>
      </c>
      <c r="K16" s="16">
        <v>1.6376038650847007</v>
      </c>
      <c r="L16" s="189" t="s">
        <v>95</v>
      </c>
      <c r="M16" t="str">
        <f>""</f>
        <v/>
      </c>
      <c r="N16" s="60"/>
    </row>
    <row r="17" spans="1:22" x14ac:dyDescent="0.35">
      <c r="A17" t="s">
        <v>96</v>
      </c>
      <c r="B17" t="s">
        <v>115</v>
      </c>
      <c r="C17" t="s">
        <v>117</v>
      </c>
      <c r="D17" t="s">
        <v>89</v>
      </c>
      <c r="E17" s="37" cm="1">
        <f t="array" ref="E17:K17">(1-E13:K13)*E14:K14+E13:K13*E15:K15</f>
        <v>3.1019999999999999</v>
      </c>
      <c r="F17" s="15">
        <v>3.0673059936875</v>
      </c>
      <c r="G17" s="15">
        <v>3.003692299943177</v>
      </c>
      <c r="H17" s="15">
        <v>2.3888018355094096</v>
      </c>
      <c r="I17" s="15">
        <v>1.8870889225600636</v>
      </c>
      <c r="J17" s="15">
        <v>1.4833523402276221</v>
      </c>
      <c r="K17" s="16">
        <v>1.161655856110426</v>
      </c>
      <c r="L17" s="189" t="s">
        <v>95</v>
      </c>
      <c r="M17" t="str">
        <f>""</f>
        <v/>
      </c>
      <c r="N17" s="60"/>
    </row>
    <row r="18" spans="1:22" x14ac:dyDescent="0.35">
      <c r="A18" t="s">
        <v>96</v>
      </c>
      <c r="B18" t="s">
        <v>115</v>
      </c>
      <c r="C18" t="s">
        <v>119</v>
      </c>
      <c r="D18" t="s">
        <v>87</v>
      </c>
      <c r="E18" s="37" cm="1">
        <f t="array" ref="E18:K18">E17:K17*E9:K9*E8:K8</f>
        <v>0.17371199999999998</v>
      </c>
      <c r="F18" s="15">
        <v>0.37957911671882816</v>
      </c>
      <c r="G18" s="15">
        <v>0.6007384599886354</v>
      </c>
      <c r="H18" s="15">
        <v>0.78681160457091182</v>
      </c>
      <c r="I18" s="15">
        <v>0.89164951590963026</v>
      </c>
      <c r="J18" s="15">
        <v>0.93358487913076005</v>
      </c>
      <c r="K18" s="16">
        <v>0.92932468488834097</v>
      </c>
      <c r="L18" s="189" t="s">
        <v>95</v>
      </c>
      <c r="M18" s="5" t="s">
        <v>629</v>
      </c>
      <c r="N18" s="61" t="s">
        <v>594</v>
      </c>
    </row>
    <row r="19" spans="1:22" x14ac:dyDescent="0.35">
      <c r="A19" t="s">
        <v>96</v>
      </c>
      <c r="B19" t="s">
        <v>115</v>
      </c>
      <c r="C19" t="s">
        <v>506</v>
      </c>
      <c r="D19" t="s">
        <v>87</v>
      </c>
      <c r="E19" s="52">
        <v>0.02</v>
      </c>
      <c r="F19" s="15" cm="1">
        <f t="array" ref="F19:K19">E19*POWER(1+$L19,F$1:K$1-$E$1)</f>
        <v>3.2210200000000008E-2</v>
      </c>
      <c r="G19" s="15">
        <v>5.1874849202000035E-2</v>
      </c>
      <c r="H19" s="15">
        <v>8.3544963388313104E-2</v>
      </c>
      <c r="I19" s="15">
        <v>0.13454999898651218</v>
      </c>
      <c r="J19" s="15">
        <v>0.21669411886776782</v>
      </c>
      <c r="K19" s="16">
        <v>0.34898804537772893</v>
      </c>
      <c r="L19" s="189">
        <v>0.1</v>
      </c>
      <c r="M19" s="5" t="s">
        <v>77</v>
      </c>
      <c r="N19" s="18" t="s">
        <v>556</v>
      </c>
    </row>
    <row r="20" spans="1:22" x14ac:dyDescent="0.35">
      <c r="A20" t="s">
        <v>96</v>
      </c>
      <c r="B20" t="s">
        <v>115</v>
      </c>
      <c r="C20" t="s">
        <v>113</v>
      </c>
      <c r="D20" t="s">
        <v>87</v>
      </c>
      <c r="E20" s="204">
        <v>0.4</v>
      </c>
      <c r="F20" s="15" cm="1">
        <f t="array" ref="F20:K20">E20*POWER(1+$L20,F$1:K$1-$E$1)</f>
        <v>0.4</v>
      </c>
      <c r="G20" s="15">
        <v>0.4</v>
      </c>
      <c r="H20" s="15">
        <v>0.4</v>
      </c>
      <c r="I20" s="15">
        <v>0.4</v>
      </c>
      <c r="J20" s="15">
        <v>0.4</v>
      </c>
      <c r="K20" s="16">
        <v>0.4</v>
      </c>
      <c r="L20" s="189">
        <v>0</v>
      </c>
      <c r="M20" t="s">
        <v>503</v>
      </c>
      <c r="N20" s="61"/>
    </row>
    <row r="21" spans="1:22" x14ac:dyDescent="0.35">
      <c r="A21" t="s">
        <v>96</v>
      </c>
      <c r="B21" t="s">
        <v>116</v>
      </c>
      <c r="C21" t="s">
        <v>124</v>
      </c>
      <c r="D21" t="s">
        <v>10</v>
      </c>
      <c r="E21" s="67">
        <f>vehicles!X25</f>
        <v>4.163731764705882</v>
      </c>
      <c r="F21" s="12">
        <f t="shared" ref="F21:K21" si="1">E21</f>
        <v>4.163731764705882</v>
      </c>
      <c r="G21" s="12">
        <f t="shared" si="1"/>
        <v>4.163731764705882</v>
      </c>
      <c r="H21" s="12">
        <f t="shared" si="1"/>
        <v>4.163731764705882</v>
      </c>
      <c r="I21" s="12">
        <f t="shared" si="1"/>
        <v>4.163731764705882</v>
      </c>
      <c r="J21" s="12">
        <f t="shared" si="1"/>
        <v>4.163731764705882</v>
      </c>
      <c r="K21" s="13">
        <f t="shared" si="1"/>
        <v>4.163731764705882</v>
      </c>
      <c r="L21" s="189" t="s">
        <v>95</v>
      </c>
      <c r="M21" t="str">
        <f>""</f>
        <v/>
      </c>
      <c r="N21" s="61"/>
    </row>
    <row r="22" spans="1:22" x14ac:dyDescent="0.35">
      <c r="A22" t="s">
        <v>96</v>
      </c>
      <c r="B22" t="s">
        <v>116</v>
      </c>
      <c r="C22" t="s">
        <v>113</v>
      </c>
      <c r="D22" t="s">
        <v>86</v>
      </c>
      <c r="E22" s="37" cm="1">
        <f t="array" ref="E22:K22">E20:K20/E21:K21</f>
        <v>9.6067667804785997E-2</v>
      </c>
      <c r="F22" s="15">
        <v>9.6067667804785997E-2</v>
      </c>
      <c r="G22" s="15">
        <v>9.6067667804785997E-2</v>
      </c>
      <c r="H22" s="15">
        <v>9.6067667804785997E-2</v>
      </c>
      <c r="I22" s="15">
        <v>9.6067667804785997E-2</v>
      </c>
      <c r="J22" s="15">
        <v>9.6067667804785997E-2</v>
      </c>
      <c r="K22" s="16">
        <v>9.6067667804785997E-2</v>
      </c>
      <c r="L22" s="189" t="s">
        <v>95</v>
      </c>
      <c r="M22" t="str">
        <f>""</f>
        <v/>
      </c>
      <c r="N22" s="60"/>
    </row>
    <row r="23" spans="1:22" x14ac:dyDescent="0.35">
      <c r="A23" t="s">
        <v>245</v>
      </c>
      <c r="B23" t="s">
        <v>245</v>
      </c>
      <c r="C23" t="s">
        <v>247</v>
      </c>
      <c r="D23" t="s">
        <v>86</v>
      </c>
      <c r="E23" s="206" cm="1">
        <f t="array" ref="E23:E25">E31:E33</f>
        <v>7.1295287671232874E-2</v>
      </c>
      <c r="F23" s="87" cm="1">
        <f t="array" ref="F23:K23">E23*POWER(1+$L23,F$1:K$1-$E$1)</f>
        <v>7.1295287671232874E-2</v>
      </c>
      <c r="G23" s="87">
        <v>7.1295287671232874E-2</v>
      </c>
      <c r="H23" s="87">
        <v>7.1295287671232874E-2</v>
      </c>
      <c r="I23" s="87">
        <v>7.1295287671232874E-2</v>
      </c>
      <c r="J23" s="87">
        <v>7.1295287671232874E-2</v>
      </c>
      <c r="K23" s="88">
        <v>7.1295287671232874E-2</v>
      </c>
      <c r="L23" s="189" cm="1">
        <f t="array" ref="L23:L25">L31:L33</f>
        <v>0</v>
      </c>
      <c r="M23" s="61" t="s">
        <v>596</v>
      </c>
    </row>
    <row r="24" spans="1:22" x14ac:dyDescent="0.35">
      <c r="A24" t="s">
        <v>245</v>
      </c>
      <c r="B24" t="s">
        <v>245</v>
      </c>
      <c r="C24" t="s">
        <v>248</v>
      </c>
      <c r="D24" t="s">
        <v>86</v>
      </c>
      <c r="E24" s="206">
        <v>0.12525539726027404</v>
      </c>
      <c r="F24" s="87" cm="1">
        <f t="array" ref="F24:K24">E24*POWER(1+$L24,F$1:K$1-$E$1)</f>
        <v>0.12525539726027404</v>
      </c>
      <c r="G24" s="87">
        <v>0.12525539726027404</v>
      </c>
      <c r="H24" s="87">
        <v>0.12525539726027404</v>
      </c>
      <c r="I24" s="87">
        <v>0.12525539726027404</v>
      </c>
      <c r="J24" s="87">
        <v>0.12525539726027404</v>
      </c>
      <c r="K24" s="88">
        <v>0.12525539726027404</v>
      </c>
      <c r="L24" s="189">
        <v>0</v>
      </c>
      <c r="M24" s="61" t="s">
        <v>596</v>
      </c>
    </row>
    <row r="25" spans="1:22" x14ac:dyDescent="0.35">
      <c r="A25" t="s">
        <v>245</v>
      </c>
      <c r="B25" t="s">
        <v>245</v>
      </c>
      <c r="C25" t="s">
        <v>249</v>
      </c>
      <c r="D25" t="s">
        <v>91</v>
      </c>
      <c r="E25" s="204">
        <v>0.26500000000000001</v>
      </c>
      <c r="F25" s="55" cm="1">
        <f t="array" ref="F25:K25">E25*POWER(1+$L25,F$1:K$1-$E$1)</f>
        <v>0.17465660364800004</v>
      </c>
      <c r="G25" s="55">
        <v>0.11511294036926258</v>
      </c>
      <c r="H25" s="55">
        <v>7.5868812078604353E-2</v>
      </c>
      <c r="I25" s="55">
        <v>5.0003732228141126E-2</v>
      </c>
      <c r="J25" s="55">
        <v>3.2956536002608186E-2</v>
      </c>
      <c r="K25" s="56">
        <v>2.1721043947994647E-2</v>
      </c>
      <c r="L25" s="205">
        <v>-0.08</v>
      </c>
      <c r="M25" s="61" t="s">
        <v>596</v>
      </c>
    </row>
    <row r="26" spans="1:22" x14ac:dyDescent="0.35">
      <c r="A26" t="s">
        <v>245</v>
      </c>
      <c r="B26" t="s">
        <v>245</v>
      </c>
      <c r="C26" t="s">
        <v>119</v>
      </c>
      <c r="D26" t="s">
        <v>86</v>
      </c>
      <c r="E26" s="66" cm="1">
        <f t="array" ref="E26:K26">E25:K25*E9:K9*E8:K8</f>
        <v>1.4840000000000001E-2</v>
      </c>
      <c r="F26" s="55">
        <v>2.1613754701440006E-2</v>
      </c>
      <c r="G26" s="55">
        <v>2.3022588073852518E-2</v>
      </c>
      <c r="H26" s="55">
        <v>2.4989289978390311E-2</v>
      </c>
      <c r="I26" s="55">
        <v>2.362676347779669E-2</v>
      </c>
      <c r="J26" s="55">
        <v>2.0742019846641532E-2</v>
      </c>
      <c r="K26" s="56">
        <v>1.737683515839572E-2</v>
      </c>
      <c r="L26" s="189" t="s">
        <v>95</v>
      </c>
      <c r="M26" t="str">
        <f>""</f>
        <v/>
      </c>
    </row>
    <row r="27" spans="1:22" x14ac:dyDescent="0.35">
      <c r="A27" t="s">
        <v>244</v>
      </c>
      <c r="B27" t="s">
        <v>244</v>
      </c>
      <c r="C27" t="s">
        <v>247</v>
      </c>
      <c r="D27" t="s">
        <v>86</v>
      </c>
      <c r="E27" s="206" cm="1">
        <f t="array" ref="E27:E29">E31:E33</f>
        <v>7.1295287671232874E-2</v>
      </c>
      <c r="F27" s="87" cm="1">
        <f t="array" ref="F27:K27">E27*POWER(1+$L27,F$1:K$1-$E$1)</f>
        <v>7.1295287671232874E-2</v>
      </c>
      <c r="G27" s="87">
        <v>7.1295287671232874E-2</v>
      </c>
      <c r="H27" s="87">
        <v>7.1295287671232874E-2</v>
      </c>
      <c r="I27" s="87">
        <v>7.1295287671232874E-2</v>
      </c>
      <c r="J27" s="87">
        <v>7.1295287671232874E-2</v>
      </c>
      <c r="K27" s="88">
        <v>7.1295287671232874E-2</v>
      </c>
      <c r="L27" s="189" cm="1">
        <f t="array" ref="L27:L29">L31:L33</f>
        <v>0</v>
      </c>
      <c r="M27" s="61" t="s">
        <v>596</v>
      </c>
    </row>
    <row r="28" spans="1:22" x14ac:dyDescent="0.35">
      <c r="A28" t="s">
        <v>244</v>
      </c>
      <c r="B28" t="s">
        <v>244</v>
      </c>
      <c r="C28" t="s">
        <v>248</v>
      </c>
      <c r="D28" t="s">
        <v>86</v>
      </c>
      <c r="E28" s="206">
        <v>0.12525539726027404</v>
      </c>
      <c r="F28" s="87" cm="1">
        <f t="array" ref="F28:K28">E28*POWER(1+$L28,F$1:K$1-$E$1)</f>
        <v>0.12525539726027404</v>
      </c>
      <c r="G28" s="87">
        <v>0.12525539726027404</v>
      </c>
      <c r="H28" s="87">
        <v>0.12525539726027404</v>
      </c>
      <c r="I28" s="87">
        <v>0.12525539726027404</v>
      </c>
      <c r="J28" s="87">
        <v>0.12525539726027404</v>
      </c>
      <c r="K28" s="88">
        <v>0.12525539726027404</v>
      </c>
      <c r="L28" s="189">
        <v>0</v>
      </c>
      <c r="M28" s="61" t="s">
        <v>596</v>
      </c>
      <c r="P28" s="137" cm="1">
        <f t="array" ref="P28:V28">E28:K28-E27:K27</f>
        <v>5.3960109589041169E-2</v>
      </c>
      <c r="Q28">
        <v>5.3960109589041169E-2</v>
      </c>
      <c r="R28">
        <v>5.3960109589041169E-2</v>
      </c>
      <c r="S28">
        <v>5.3960109589041169E-2</v>
      </c>
      <c r="T28">
        <v>5.3960109589041169E-2</v>
      </c>
      <c r="U28">
        <v>5.3960109589041169E-2</v>
      </c>
      <c r="V28">
        <v>5.3960109589041169E-2</v>
      </c>
    </row>
    <row r="29" spans="1:22" x14ac:dyDescent="0.35">
      <c r="A29" t="s">
        <v>244</v>
      </c>
      <c r="B29" t="s">
        <v>244</v>
      </c>
      <c r="C29" t="s">
        <v>249</v>
      </c>
      <c r="D29" t="s">
        <v>91</v>
      </c>
      <c r="E29" s="204">
        <v>0.26500000000000001</v>
      </c>
      <c r="F29" s="55" cm="1">
        <f t="array" ref="F29:K29">E29*POWER(1+$L29,F$1:K$1-$E$1)</f>
        <v>0.17465660364800004</v>
      </c>
      <c r="G29" s="55">
        <v>0.11511294036926258</v>
      </c>
      <c r="H29" s="55">
        <v>7.5868812078604353E-2</v>
      </c>
      <c r="I29" s="55">
        <v>5.0003732228141126E-2</v>
      </c>
      <c r="J29" s="55">
        <v>3.2956536002608186E-2</v>
      </c>
      <c r="K29" s="56">
        <v>2.1721043947994647E-2</v>
      </c>
      <c r="L29" s="205">
        <v>-0.08</v>
      </c>
      <c r="M29" s="61" t="s">
        <v>596</v>
      </c>
    </row>
    <row r="30" spans="1:22" x14ac:dyDescent="0.35">
      <c r="A30" t="s">
        <v>244</v>
      </c>
      <c r="B30" t="s">
        <v>244</v>
      </c>
      <c r="C30" t="s">
        <v>119</v>
      </c>
      <c r="D30" t="s">
        <v>86</v>
      </c>
      <c r="E30" s="66" cm="1">
        <f t="array" ref="E30:K30">E29:K29*E9:K9*E8:K8</f>
        <v>1.4840000000000001E-2</v>
      </c>
      <c r="F30" s="55">
        <v>2.1613754701440006E-2</v>
      </c>
      <c r="G30" s="55">
        <v>2.3022588073852518E-2</v>
      </c>
      <c r="H30" s="55">
        <v>2.4989289978390311E-2</v>
      </c>
      <c r="I30" s="55">
        <v>2.362676347779669E-2</v>
      </c>
      <c r="J30" s="55">
        <v>2.0742019846641532E-2</v>
      </c>
      <c r="K30" s="56">
        <v>1.737683515839572E-2</v>
      </c>
      <c r="L30" s="189" t="s">
        <v>95</v>
      </c>
      <c r="M30" t="str">
        <f>""</f>
        <v/>
      </c>
    </row>
    <row r="31" spans="1:22" x14ac:dyDescent="0.35">
      <c r="A31" t="s">
        <v>293</v>
      </c>
      <c r="B31" t="s">
        <v>293</v>
      </c>
      <c r="C31" t="s">
        <v>247</v>
      </c>
      <c r="D31" t="s">
        <v>86</v>
      </c>
      <c r="E31" s="185">
        <f>'electricity price curves'!F26/1000</f>
        <v>7.1295287671232874E-2</v>
      </c>
      <c r="F31" s="87" cm="1">
        <f t="array" ref="F31:K31">E31*POWER(1+$L31,F$1:K$1-$E$1)</f>
        <v>7.1295287671232874E-2</v>
      </c>
      <c r="G31" s="87">
        <v>7.1295287671232874E-2</v>
      </c>
      <c r="H31" s="87">
        <v>7.1295287671232874E-2</v>
      </c>
      <c r="I31" s="87">
        <v>7.1295287671232874E-2</v>
      </c>
      <c r="J31" s="87">
        <v>7.1295287671232874E-2</v>
      </c>
      <c r="K31" s="88">
        <v>7.1295287671232874E-2</v>
      </c>
      <c r="L31" s="189">
        <v>0</v>
      </c>
      <c r="M31" t="s">
        <v>551</v>
      </c>
      <c r="N31" s="61"/>
    </row>
    <row r="32" spans="1:22" x14ac:dyDescent="0.35">
      <c r="A32" t="s">
        <v>293</v>
      </c>
      <c r="B32" t="s">
        <v>293</v>
      </c>
      <c r="C32" t="s">
        <v>248</v>
      </c>
      <c r="D32" t="s">
        <v>86</v>
      </c>
      <c r="E32" s="185">
        <f>'electricity price curves'!F27/1000</f>
        <v>0.12525539726027404</v>
      </c>
      <c r="F32" s="87" cm="1">
        <f t="array" ref="F32:K32">E32*POWER(1+$L32,F$1:K$1-$E$1)</f>
        <v>0.12525539726027404</v>
      </c>
      <c r="G32" s="87">
        <v>0.12525539726027404</v>
      </c>
      <c r="H32" s="87">
        <v>0.12525539726027404</v>
      </c>
      <c r="I32" s="87">
        <v>0.12525539726027404</v>
      </c>
      <c r="J32" s="87">
        <v>0.12525539726027404</v>
      </c>
      <c r="K32" s="88">
        <v>0.12525539726027404</v>
      </c>
      <c r="L32" s="189">
        <v>0</v>
      </c>
      <c r="M32" t="s">
        <v>552</v>
      </c>
      <c r="N32" s="61"/>
    </row>
    <row r="33" spans="1:14" x14ac:dyDescent="0.35">
      <c r="A33" t="s">
        <v>293</v>
      </c>
      <c r="B33" t="s">
        <v>293</v>
      </c>
      <c r="C33" t="s">
        <v>249</v>
      </c>
      <c r="D33" t="s">
        <v>91</v>
      </c>
      <c r="E33" s="52">
        <v>0.26500000000000001</v>
      </c>
      <c r="F33" s="55" cm="1">
        <f t="array" ref="F33:K33">E33*POWER(1+$L33,F$1:K$1-$E$1)</f>
        <v>0.17465660364800004</v>
      </c>
      <c r="G33" s="55">
        <v>0.11511294036926258</v>
      </c>
      <c r="H33" s="55">
        <v>7.5868812078604353E-2</v>
      </c>
      <c r="I33" s="55">
        <v>5.0003732228141126E-2</v>
      </c>
      <c r="J33" s="55">
        <v>3.2956536002608186E-2</v>
      </c>
      <c r="K33" s="56">
        <v>2.1721043947994647E-2</v>
      </c>
      <c r="L33" s="189">
        <v>-0.08</v>
      </c>
      <c r="M33" s="58" t="s">
        <v>635</v>
      </c>
    </row>
    <row r="34" spans="1:14" x14ac:dyDescent="0.35">
      <c r="A34" t="s">
        <v>293</v>
      </c>
      <c r="B34" t="s">
        <v>293</v>
      </c>
      <c r="C34" t="s">
        <v>119</v>
      </c>
      <c r="D34" t="s">
        <v>86</v>
      </c>
      <c r="E34" s="66" cm="1">
        <f t="array" ref="E34:K34">E33:K33*E9:K9*E8:K8</f>
        <v>1.4840000000000001E-2</v>
      </c>
      <c r="F34" s="55">
        <v>2.1613754701440006E-2</v>
      </c>
      <c r="G34" s="55">
        <v>2.3022588073852518E-2</v>
      </c>
      <c r="H34" s="55">
        <v>2.4989289978390311E-2</v>
      </c>
      <c r="I34" s="55">
        <v>2.362676347779669E-2</v>
      </c>
      <c r="J34" s="55">
        <v>2.0742019846641532E-2</v>
      </c>
      <c r="K34" s="56">
        <v>1.737683515839572E-2</v>
      </c>
      <c r="L34" s="189" t="s">
        <v>95</v>
      </c>
      <c r="M34" t="str">
        <f>""</f>
        <v/>
      </c>
    </row>
    <row r="35" spans="1:14" x14ac:dyDescent="0.35">
      <c r="E35" s="14"/>
    </row>
    <row r="36" spans="1:14" x14ac:dyDescent="0.35">
      <c r="E36" s="14"/>
      <c r="F36" s="14"/>
      <c r="G36" s="14"/>
      <c r="H36" s="14"/>
      <c r="I36" s="14"/>
      <c r="J36" s="14"/>
      <c r="K36" s="14"/>
      <c r="L36" s="9"/>
      <c r="N36" s="18"/>
    </row>
    <row r="37" spans="1:14" x14ac:dyDescent="0.35">
      <c r="C37" s="166" t="s">
        <v>554</v>
      </c>
      <c r="D37" s="166" t="s">
        <v>87</v>
      </c>
      <c r="E37" s="167" cm="1">
        <f t="array" ref="E37:K37">_xlfn.ANCHORARRAY(E16)+_xlfn.ANCHORARRAY(E18)+E19:K19+E20:K20</f>
        <v>1.238712</v>
      </c>
      <c r="F37" s="167">
        <v>1.5004512812546893</v>
      </c>
      <c r="G37" s="167">
        <v>1.8019220566612613</v>
      </c>
      <c r="H37" s="167">
        <v>2.2681091715475894</v>
      </c>
      <c r="I37" s="167">
        <v>2.6515041840775839</v>
      </c>
      <c r="J37" s="167">
        <v>2.9874205854790694</v>
      </c>
      <c r="K37" s="167">
        <v>3.3159165953507705</v>
      </c>
      <c r="L37" s="9"/>
      <c r="N37" s="18"/>
    </row>
    <row r="38" spans="1:14" x14ac:dyDescent="0.35">
      <c r="C38" s="166" t="s">
        <v>555</v>
      </c>
      <c r="D38" s="166" t="s">
        <v>85</v>
      </c>
      <c r="E38" s="183" cm="1">
        <f t="array" ref="E38:K38">(_xlfn.ANCHORARRAY(E18)+E19:K19+E20:K20)/_xlfn.ANCHORARRAY(E37)</f>
        <v>0.4792978513165288</v>
      </c>
      <c r="F38" s="183">
        <v>0.54103010664898332</v>
      </c>
      <c r="G38" s="183">
        <v>0.58416139882376361</v>
      </c>
      <c r="H38" s="183">
        <v>0.5600949830348898</v>
      </c>
      <c r="I38" s="183">
        <v>0.53788318474492425</v>
      </c>
      <c r="J38" s="183">
        <v>0.51893563481953497</v>
      </c>
      <c r="K38" s="183">
        <v>0.50613840306454738</v>
      </c>
      <c r="L38" s="9"/>
      <c r="N38" s="18"/>
    </row>
    <row r="39" spans="1:14" x14ac:dyDescent="0.35">
      <c r="C39" s="166" t="s">
        <v>540</v>
      </c>
      <c r="D39" s="166" t="s">
        <v>85</v>
      </c>
      <c r="E39" s="183" cm="1">
        <f t="array" ref="E39:K39">1-_xlfn.ANCHORARRAY(E17)/E14:K14</f>
        <v>3.9628482972136281E-2</v>
      </c>
      <c r="F39" s="183">
        <v>5.0369661397058785E-2</v>
      </c>
      <c r="G39" s="183">
        <v>7.0064303423165053E-2</v>
      </c>
      <c r="H39" s="183">
        <v>0.26043286826334067</v>
      </c>
      <c r="I39" s="183">
        <v>0.41576194347985651</v>
      </c>
      <c r="J39" s="183">
        <v>0.54075778940321295</v>
      </c>
      <c r="K39" s="183">
        <v>0.64035422411441922</v>
      </c>
      <c r="N39">
        <f>1.64*0.35</f>
        <v>0.57399999999999995</v>
      </c>
    </row>
    <row r="40" spans="1:14" x14ac:dyDescent="0.35">
      <c r="C40" s="166" t="s">
        <v>541</v>
      </c>
      <c r="D40" s="166" t="s">
        <v>114</v>
      </c>
      <c r="E40" s="184" cm="1">
        <f t="array" ref="E40:K40">_xlfn.ANCHORARRAY(E17)/(vehicles!E106:K106/vehicles!E103:K103)</f>
        <v>0.74500476382611525</v>
      </c>
      <c r="F40" s="184">
        <v>0.74038539181087315</v>
      </c>
      <c r="G40" s="184">
        <v>0.72868471705473981</v>
      </c>
      <c r="H40" s="184">
        <v>0.5824354837041742</v>
      </c>
      <c r="I40" s="184">
        <v>0.46242738864000615</v>
      </c>
      <c r="J40" s="184">
        <v>0.36532465778435408</v>
      </c>
      <c r="K40" s="184">
        <v>0.28753825506742176</v>
      </c>
    </row>
    <row r="41" spans="1:14" x14ac:dyDescent="0.35">
      <c r="C41" s="166" t="s">
        <v>545</v>
      </c>
      <c r="D41" s="166" t="s">
        <v>2</v>
      </c>
      <c r="E41" s="184" cm="1">
        <f t="array" ref="E41:K41">AVERAGE(E27:E28)*E21:K21/_xlfn.ANCHORARRAY(E16)</f>
        <v>0.63440645753799463</v>
      </c>
      <c r="F41" s="184">
        <v>0.59418435485658128</v>
      </c>
      <c r="G41" s="184">
        <v>0.54609287092040459</v>
      </c>
      <c r="H41" s="184">
        <v>0.41011385351475765</v>
      </c>
      <c r="I41" s="184">
        <v>0.33395136361095007</v>
      </c>
      <c r="J41" s="184">
        <v>0.28472641017184874</v>
      </c>
      <c r="K41" s="184">
        <v>0.24987249592919233</v>
      </c>
    </row>
    <row r="43" spans="1:14" x14ac:dyDescent="0.35">
      <c r="A43" s="4" t="s">
        <v>501</v>
      </c>
      <c r="E43" s="14"/>
    </row>
    <row r="44" spans="1:14" x14ac:dyDescent="0.35">
      <c r="A44" s="166" t="s">
        <v>80</v>
      </c>
      <c r="B44" s="166" t="s">
        <v>82</v>
      </c>
      <c r="C44" s="166" t="s">
        <v>81</v>
      </c>
      <c r="D44" s="166" t="s">
        <v>83</v>
      </c>
      <c r="E44" s="167">
        <v>2020</v>
      </c>
      <c r="F44" s="166">
        <v>2025</v>
      </c>
      <c r="G44" s="166">
        <v>2030</v>
      </c>
      <c r="H44" s="166">
        <v>2035</v>
      </c>
      <c r="I44" s="166">
        <v>2040</v>
      </c>
      <c r="J44" s="166">
        <v>2045</v>
      </c>
      <c r="K44" s="166">
        <v>2050</v>
      </c>
      <c r="L44" s="166" t="s">
        <v>0</v>
      </c>
      <c r="M44" s="166" t="s">
        <v>98</v>
      </c>
      <c r="N44" s="166" t="s">
        <v>99</v>
      </c>
    </row>
    <row r="45" spans="1:14" x14ac:dyDescent="0.35">
      <c r="A45" s="166" t="s">
        <v>96</v>
      </c>
      <c r="B45" s="166" t="s">
        <v>88</v>
      </c>
      <c r="C45" s="166" t="s">
        <v>84</v>
      </c>
      <c r="D45" s="166" t="s">
        <v>85</v>
      </c>
      <c r="E45" s="166">
        <v>0.02</v>
      </c>
      <c r="F45" s="166">
        <v>0.02</v>
      </c>
      <c r="G45" s="166">
        <v>0.02</v>
      </c>
      <c r="H45" s="166">
        <v>0.02</v>
      </c>
      <c r="I45" s="166">
        <v>0.02</v>
      </c>
      <c r="J45" s="166">
        <v>0.02</v>
      </c>
      <c r="K45" s="166">
        <v>0.02</v>
      </c>
      <c r="L45" s="166">
        <v>0</v>
      </c>
      <c r="M45" s="166" t="s">
        <v>101</v>
      </c>
      <c r="N45" s="166" t="s">
        <v>100</v>
      </c>
    </row>
    <row r="46" spans="1:14" x14ac:dyDescent="0.35">
      <c r="A46" s="166" t="s">
        <v>96</v>
      </c>
      <c r="B46" s="166" t="s">
        <v>88</v>
      </c>
      <c r="C46" s="166" t="s">
        <v>371</v>
      </c>
      <c r="D46" s="166" t="s">
        <v>85</v>
      </c>
      <c r="E46" s="166">
        <v>0.06</v>
      </c>
      <c r="F46" s="166">
        <v>0.06</v>
      </c>
      <c r="G46" s="166">
        <v>0.06</v>
      </c>
      <c r="H46" s="166">
        <v>0.06</v>
      </c>
      <c r="I46" s="166">
        <v>0.06</v>
      </c>
      <c r="J46" s="166">
        <v>0.06</v>
      </c>
      <c r="K46" s="166">
        <v>0.06</v>
      </c>
      <c r="L46" s="166">
        <v>0</v>
      </c>
      <c r="M46" s="166" t="s">
        <v>103</v>
      </c>
      <c r="N46" s="166" t="s">
        <v>102</v>
      </c>
    </row>
    <row r="47" spans="1:14" x14ac:dyDescent="0.35">
      <c r="A47" s="166" t="s">
        <v>96</v>
      </c>
      <c r="B47" s="166" t="s">
        <v>88</v>
      </c>
      <c r="C47" s="166" t="s">
        <v>372</v>
      </c>
      <c r="D47" s="166" t="s">
        <v>85</v>
      </c>
      <c r="E47" s="166">
        <v>0.12</v>
      </c>
      <c r="F47" s="166">
        <v>0.12</v>
      </c>
      <c r="G47" s="166">
        <v>0.12</v>
      </c>
      <c r="H47" s="166">
        <v>0.12</v>
      </c>
      <c r="I47" s="166">
        <v>0.12</v>
      </c>
      <c r="J47" s="166">
        <v>0.12</v>
      </c>
      <c r="K47" s="166">
        <v>0.12</v>
      </c>
      <c r="L47" s="166">
        <v>0</v>
      </c>
      <c r="M47" s="166" t="s">
        <v>103</v>
      </c>
      <c r="N47" s="166" t="s">
        <v>104</v>
      </c>
    </row>
    <row r="48" spans="1:14" x14ac:dyDescent="0.35">
      <c r="A48" s="166" t="s">
        <v>96</v>
      </c>
      <c r="B48" s="166" t="s">
        <v>294</v>
      </c>
      <c r="C48" s="166" t="s">
        <v>295</v>
      </c>
      <c r="D48" s="166" t="s">
        <v>24</v>
      </c>
      <c r="E48" s="166">
        <v>0.16666666666666666</v>
      </c>
      <c r="F48" s="166">
        <v>0.14312233761666665</v>
      </c>
      <c r="G48" s="166">
        <v>0.12290402114915469</v>
      </c>
      <c r="H48" s="166">
        <v>0.10554186485613154</v>
      </c>
      <c r="I48" s="166">
        <v>9.0632390487791176E-2</v>
      </c>
      <c r="J48" s="166">
        <v>7.7829117542395299E-2</v>
      </c>
      <c r="K48" s="166">
        <v>6.6834511423859599E-2</v>
      </c>
      <c r="L48" s="166">
        <v>-0.03</v>
      </c>
      <c r="M48" s="166"/>
      <c r="N48" s="166" t="s">
        <v>296</v>
      </c>
    </row>
    <row r="49" spans="1:14" x14ac:dyDescent="0.35">
      <c r="A49" s="166" t="s">
        <v>96</v>
      </c>
      <c r="B49" s="166" t="s">
        <v>93</v>
      </c>
      <c r="C49" s="166" t="s">
        <v>122</v>
      </c>
      <c r="D49" s="166" t="s">
        <v>90</v>
      </c>
      <c r="E49" s="166">
        <v>0.7</v>
      </c>
      <c r="F49" s="166">
        <v>0.7</v>
      </c>
      <c r="G49" s="166">
        <v>0.7</v>
      </c>
      <c r="H49" s="166">
        <v>0.7</v>
      </c>
      <c r="I49" s="166">
        <v>0.7</v>
      </c>
      <c r="J49" s="166">
        <v>0.7</v>
      </c>
      <c r="K49" s="166">
        <v>0.7</v>
      </c>
      <c r="L49" s="166">
        <v>0</v>
      </c>
      <c r="M49" s="166" t="s">
        <v>110</v>
      </c>
      <c r="N49" s="166" t="s">
        <v>109</v>
      </c>
    </row>
    <row r="50" spans="1:14" x14ac:dyDescent="0.35">
      <c r="A50" s="166" t="s">
        <v>96</v>
      </c>
      <c r="B50" s="166" t="s">
        <v>93</v>
      </c>
      <c r="C50" s="166" t="s">
        <v>120</v>
      </c>
      <c r="D50" s="166" t="s">
        <v>121</v>
      </c>
      <c r="E50" s="166">
        <v>0.12</v>
      </c>
      <c r="F50" s="166">
        <v>0.16999999999999998</v>
      </c>
      <c r="G50" s="166">
        <v>0.21999999999999997</v>
      </c>
      <c r="H50" s="166">
        <v>0.26999999999999996</v>
      </c>
      <c r="I50" s="166">
        <v>0.31999999999999995</v>
      </c>
      <c r="J50" s="166">
        <v>0.36999999999999994</v>
      </c>
      <c r="K50" s="166">
        <v>0.41999999999999993</v>
      </c>
      <c r="L50" s="166">
        <v>0.05</v>
      </c>
      <c r="M50" s="166"/>
      <c r="N50" s="166" t="s">
        <v>238</v>
      </c>
    </row>
    <row r="51" spans="1:14" x14ac:dyDescent="0.35">
      <c r="A51" s="166" t="s">
        <v>96</v>
      </c>
      <c r="B51" s="166" t="s">
        <v>115</v>
      </c>
      <c r="C51" s="166" t="s">
        <v>118</v>
      </c>
      <c r="D51" s="166" t="s">
        <v>87</v>
      </c>
      <c r="E51" s="166">
        <v>1</v>
      </c>
      <c r="F51" s="166">
        <v>1.1592740742999998</v>
      </c>
      <c r="G51" s="166">
        <v>1.3439163793441218</v>
      </c>
      <c r="H51" s="166">
        <v>1.5579674166007644</v>
      </c>
      <c r="I51" s="166">
        <v>1.8061112346694133</v>
      </c>
      <c r="J51" s="166">
        <v>2.0937779296542138</v>
      </c>
      <c r="K51" s="166">
        <v>2.4272624711896591</v>
      </c>
      <c r="L51" s="166">
        <v>0.03</v>
      </c>
      <c r="M51" s="166" t="s">
        <v>111</v>
      </c>
      <c r="N51" s="166" t="s">
        <v>186</v>
      </c>
    </row>
    <row r="52" spans="1:14" x14ac:dyDescent="0.35">
      <c r="A52" s="166" t="s">
        <v>96</v>
      </c>
      <c r="B52" s="166" t="s">
        <v>115</v>
      </c>
      <c r="C52" s="166" t="s">
        <v>117</v>
      </c>
      <c r="D52" s="166" t="s">
        <v>89</v>
      </c>
      <c r="E52" s="166">
        <v>2.6</v>
      </c>
      <c r="F52" s="166">
        <v>2.11996901376</v>
      </c>
      <c r="G52" s="166">
        <v>1.7285648535779026</v>
      </c>
      <c r="H52" s="166">
        <v>1.4094245876383635</v>
      </c>
      <c r="I52" s="166">
        <v>1.1492063280864599</v>
      </c>
      <c r="J52" s="166">
        <v>0.93703146383084757</v>
      </c>
      <c r="K52" s="166">
        <v>0.76402987239983489</v>
      </c>
      <c r="L52" s="166">
        <v>-0.04</v>
      </c>
      <c r="M52" s="166"/>
      <c r="N52" s="166" t="s">
        <v>186</v>
      </c>
    </row>
    <row r="53" spans="1:14" x14ac:dyDescent="0.35">
      <c r="A53" s="166" t="s">
        <v>96</v>
      </c>
      <c r="B53" s="166" t="s">
        <v>115</v>
      </c>
      <c r="C53" s="166" t="s">
        <v>119</v>
      </c>
      <c r="D53" s="166" t="s">
        <v>87</v>
      </c>
      <c r="E53" s="166">
        <v>0.21839999999999998</v>
      </c>
      <c r="F53" s="166">
        <v>0.25227631263743999</v>
      </c>
      <c r="G53" s="166">
        <v>0.26619898745099696</v>
      </c>
      <c r="H53" s="166">
        <v>0.26638124706365063</v>
      </c>
      <c r="I53" s="166">
        <v>0.25742221749136696</v>
      </c>
      <c r="J53" s="166">
        <v>0.24269114913218948</v>
      </c>
      <c r="K53" s="166">
        <v>0.2246247824855514</v>
      </c>
      <c r="L53" s="166"/>
      <c r="M53" s="166"/>
      <c r="N53" s="166"/>
    </row>
    <row r="54" spans="1:14" x14ac:dyDescent="0.35">
      <c r="A54" s="166" t="s">
        <v>96</v>
      </c>
      <c r="B54" s="166" t="s">
        <v>115</v>
      </c>
      <c r="C54" s="166" t="s">
        <v>113</v>
      </c>
      <c r="D54" s="166" t="s">
        <v>87</v>
      </c>
      <c r="E54" s="166">
        <v>0.251</v>
      </c>
      <c r="F54" s="166">
        <v>0.251</v>
      </c>
      <c r="G54" s="166">
        <v>0.251</v>
      </c>
      <c r="H54" s="166">
        <v>0.251</v>
      </c>
      <c r="I54" s="166">
        <v>0.251</v>
      </c>
      <c r="J54" s="166">
        <v>0.251</v>
      </c>
      <c r="K54" s="166">
        <v>0.251</v>
      </c>
      <c r="L54" s="166">
        <v>0</v>
      </c>
      <c r="M54" s="166" t="s">
        <v>123</v>
      </c>
      <c r="N54" s="166" t="s">
        <v>237</v>
      </c>
    </row>
    <row r="55" spans="1:14" x14ac:dyDescent="0.35">
      <c r="A55" s="166" t="s">
        <v>96</v>
      </c>
      <c r="B55" s="166" t="s">
        <v>116</v>
      </c>
      <c r="C55" s="166" t="s">
        <v>124</v>
      </c>
      <c r="D55" s="166" t="s">
        <v>10</v>
      </c>
      <c r="E55" s="166">
        <v>4.163731764705882</v>
      </c>
      <c r="F55" s="166">
        <v>4.163731764705882</v>
      </c>
      <c r="G55" s="166">
        <v>4.163731764705882</v>
      </c>
      <c r="H55" s="166">
        <v>4.163731764705882</v>
      </c>
      <c r="I55" s="166">
        <v>4.163731764705882</v>
      </c>
      <c r="J55" s="166">
        <v>4.163731764705882</v>
      </c>
      <c r="K55" s="166">
        <v>4.163731764705882</v>
      </c>
      <c r="L55" s="166"/>
      <c r="M55" s="166"/>
      <c r="N55" s="166"/>
    </row>
    <row r="56" spans="1:14" x14ac:dyDescent="0.35">
      <c r="A56" s="166" t="s">
        <v>96</v>
      </c>
      <c r="B56" s="166" t="s">
        <v>116</v>
      </c>
      <c r="C56" s="166" t="s">
        <v>113</v>
      </c>
      <c r="D56" s="166" t="s">
        <v>86</v>
      </c>
      <c r="E56" s="166">
        <v>6.0282461547503205E-2</v>
      </c>
      <c r="F56" s="166">
        <v>6.0282461547503205E-2</v>
      </c>
      <c r="G56" s="166">
        <v>6.0282461547503205E-2</v>
      </c>
      <c r="H56" s="166">
        <v>6.0282461547503205E-2</v>
      </c>
      <c r="I56" s="166">
        <v>6.0282461547503205E-2</v>
      </c>
      <c r="J56" s="166">
        <v>6.0282461547503205E-2</v>
      </c>
      <c r="K56" s="166">
        <v>6.0282461547503205E-2</v>
      </c>
      <c r="L56" s="166"/>
      <c r="M56" s="166"/>
      <c r="N56" s="166"/>
    </row>
    <row r="57" spans="1:14" x14ac:dyDescent="0.35">
      <c r="A57" s="166" t="s">
        <v>245</v>
      </c>
      <c r="B57" s="166" t="s">
        <v>245</v>
      </c>
      <c r="C57" s="166" t="s">
        <v>247</v>
      </c>
      <c r="D57" s="166" t="s">
        <v>86</v>
      </c>
      <c r="E57" s="166">
        <v>3.4458739726027407E-2</v>
      </c>
      <c r="F57" s="166">
        <v>3.6216481765834925E-2</v>
      </c>
      <c r="G57" s="166">
        <v>3.8063886315155906E-2</v>
      </c>
      <c r="H57" s="166">
        <v>4.0005527063092704E-2</v>
      </c>
      <c r="I57" s="166">
        <v>4.2046211002857978E-2</v>
      </c>
      <c r="J57" s="166">
        <v>4.4190990332628952E-2</v>
      </c>
      <c r="K57" s="166">
        <v>4.6445174963464966E-2</v>
      </c>
      <c r="L57" s="166">
        <v>0.01</v>
      </c>
      <c r="M57" s="166" t="s">
        <v>105</v>
      </c>
      <c r="N57" s="166" t="s">
        <v>239</v>
      </c>
    </row>
    <row r="58" spans="1:14" x14ac:dyDescent="0.35">
      <c r="A58" s="166" t="s">
        <v>245</v>
      </c>
      <c r="B58" s="166" t="s">
        <v>245</v>
      </c>
      <c r="C58" s="166" t="s">
        <v>248</v>
      </c>
      <c r="D58" s="166" t="s">
        <v>86</v>
      </c>
      <c r="E58" s="166">
        <v>4.8914219178082224E-2</v>
      </c>
      <c r="F58" s="166">
        <v>5.1409335948958579E-2</v>
      </c>
      <c r="G58" s="166">
        <v>5.40317287513227E-2</v>
      </c>
      <c r="H58" s="166">
        <v>5.6787889941917261E-2</v>
      </c>
      <c r="I58" s="166">
        <v>5.9684643052927762E-2</v>
      </c>
      <c r="J58" s="166">
        <v>6.2729159685258246E-2</v>
      </c>
      <c r="K58" s="166">
        <v>6.5928977263534166E-2</v>
      </c>
      <c r="L58" s="166">
        <v>0.01</v>
      </c>
      <c r="M58" s="166" t="s">
        <v>105</v>
      </c>
      <c r="N58" s="166" t="s">
        <v>239</v>
      </c>
    </row>
    <row r="59" spans="1:14" x14ac:dyDescent="0.35">
      <c r="A59" s="166" t="s">
        <v>245</v>
      </c>
      <c r="B59" s="166" t="s">
        <v>245</v>
      </c>
      <c r="C59" s="166" t="s">
        <v>249</v>
      </c>
      <c r="D59" s="166" t="s">
        <v>91</v>
      </c>
      <c r="E59" s="166">
        <v>0.01</v>
      </c>
      <c r="F59" s="166">
        <v>8.587340257E-3</v>
      </c>
      <c r="G59" s="166">
        <v>7.3742412689492822E-3</v>
      </c>
      <c r="H59" s="166">
        <v>6.3325118913678926E-3</v>
      </c>
      <c r="I59" s="166">
        <v>5.4379434292674712E-3</v>
      </c>
      <c r="J59" s="166">
        <v>4.6697470525437178E-3</v>
      </c>
      <c r="K59" s="166">
        <v>4.0100706854315762E-3</v>
      </c>
      <c r="L59" s="166">
        <v>-0.03</v>
      </c>
      <c r="M59" s="166"/>
      <c r="N59" s="166" t="s">
        <v>246</v>
      </c>
    </row>
    <row r="60" spans="1:14" x14ac:dyDescent="0.35">
      <c r="A60" s="166" t="s">
        <v>245</v>
      </c>
      <c r="B60" s="166" t="s">
        <v>245</v>
      </c>
      <c r="C60" s="166" t="s">
        <v>119</v>
      </c>
      <c r="D60" s="166" t="s">
        <v>86</v>
      </c>
      <c r="E60" s="166">
        <v>8.3999999999999993E-4</v>
      </c>
      <c r="F60" s="166">
        <v>1.0218934905829999E-3</v>
      </c>
      <c r="G60" s="166">
        <v>1.1356331554181892E-3</v>
      </c>
      <c r="H60" s="166">
        <v>1.1968447474685316E-3</v>
      </c>
      <c r="I60" s="166">
        <v>1.2180993281559133E-3</v>
      </c>
      <c r="J60" s="166">
        <v>1.2094644866088226E-3</v>
      </c>
      <c r="K60" s="166">
        <v>1.1789607815168831E-3</v>
      </c>
      <c r="L60" s="166"/>
      <c r="M60" s="166"/>
      <c r="N60" s="166"/>
    </row>
    <row r="61" spans="1:14" x14ac:dyDescent="0.35">
      <c r="A61" s="166" t="s">
        <v>244</v>
      </c>
      <c r="B61" s="166" t="s">
        <v>244</v>
      </c>
      <c r="C61" s="166" t="s">
        <v>247</v>
      </c>
      <c r="D61" s="166" t="s">
        <v>86</v>
      </c>
      <c r="E61" s="166">
        <v>4.3459219178082202E-2</v>
      </c>
      <c r="F61" s="166">
        <v>4.5676076125663052E-2</v>
      </c>
      <c r="G61" s="166">
        <v>4.8006015057204553E-2</v>
      </c>
      <c r="H61" s="166">
        <v>5.0454804290373897E-2</v>
      </c>
      <c r="I61" s="166">
        <v>5.3028506385011574E-2</v>
      </c>
      <c r="J61" s="166">
        <v>5.5733493152439209E-2</v>
      </c>
      <c r="K61" s="166">
        <v>5.8576461430393134E-2</v>
      </c>
      <c r="L61" s="166">
        <v>0.01</v>
      </c>
      <c r="M61" s="166" t="s">
        <v>105</v>
      </c>
      <c r="N61" s="166" t="s">
        <v>239</v>
      </c>
    </row>
    <row r="62" spans="1:14" x14ac:dyDescent="0.35">
      <c r="A62" s="166" t="s">
        <v>244</v>
      </c>
      <c r="B62" s="166" t="s">
        <v>244</v>
      </c>
      <c r="C62" s="166" t="s">
        <v>248</v>
      </c>
      <c r="D62" s="166" t="s">
        <v>86</v>
      </c>
      <c r="E62" s="166">
        <v>9.7833534246575302E-2</v>
      </c>
      <c r="F62" s="166">
        <v>0.10282402772995317</v>
      </c>
      <c r="G62" s="166">
        <v>0.1080690865359419</v>
      </c>
      <c r="H62" s="166">
        <v>0.11358169605440149</v>
      </c>
      <c r="I62" s="166">
        <v>0.11937550406057952</v>
      </c>
      <c r="J62" s="166">
        <v>0.12546485450342248</v>
      </c>
      <c r="K62" s="166">
        <v>0.13186482301743127</v>
      </c>
      <c r="L62" s="166">
        <v>0.01</v>
      </c>
      <c r="M62" s="166" t="s">
        <v>105</v>
      </c>
      <c r="N62" s="166" t="s">
        <v>239</v>
      </c>
    </row>
    <row r="63" spans="1:14" x14ac:dyDescent="0.35">
      <c r="A63" s="166" t="s">
        <v>244</v>
      </c>
      <c r="B63" s="166" t="s">
        <v>244</v>
      </c>
      <c r="C63" s="166" t="s">
        <v>249</v>
      </c>
      <c r="D63" s="166" t="s">
        <v>91</v>
      </c>
      <c r="E63" s="166">
        <v>0.09</v>
      </c>
      <c r="F63" s="166">
        <v>6.9640284375E-2</v>
      </c>
      <c r="G63" s="166">
        <v>5.3886324531454095E-2</v>
      </c>
      <c r="H63" s="166">
        <v>4.1696210714377797E-2</v>
      </c>
      <c r="I63" s="166">
        <v>3.2263733016768791E-2</v>
      </c>
      <c r="J63" s="166">
        <v>2.4965061580965058E-2</v>
      </c>
      <c r="K63" s="166">
        <v>1.9317488754864373E-2</v>
      </c>
      <c r="L63" s="166">
        <v>-0.05</v>
      </c>
      <c r="M63" s="166" t="s">
        <v>229</v>
      </c>
      <c r="N63" s="166" t="s">
        <v>230</v>
      </c>
    </row>
    <row r="64" spans="1:14" x14ac:dyDescent="0.35">
      <c r="A64" s="166" t="s">
        <v>244</v>
      </c>
      <c r="B64" s="166" t="s">
        <v>244</v>
      </c>
      <c r="C64" s="166" t="s">
        <v>119</v>
      </c>
      <c r="D64" s="166" t="s">
        <v>86</v>
      </c>
      <c r="E64" s="166">
        <v>7.559999999999999E-3</v>
      </c>
      <c r="F64" s="166">
        <v>8.2871938406249984E-3</v>
      </c>
      <c r="G64" s="166">
        <v>8.2984939778439296E-3</v>
      </c>
      <c r="H64" s="166">
        <v>7.8805838250174017E-3</v>
      </c>
      <c r="I64" s="166">
        <v>7.2270761957562079E-3</v>
      </c>
      <c r="J64" s="166">
        <v>6.4659509494699487E-3</v>
      </c>
      <c r="K64" s="166">
        <v>5.6793416939301244E-3</v>
      </c>
      <c r="L64" s="166"/>
      <c r="M64" s="166"/>
      <c r="N64" s="166"/>
    </row>
    <row r="65" spans="1:14" x14ac:dyDescent="0.35">
      <c r="A65" s="166" t="s">
        <v>293</v>
      </c>
      <c r="B65" s="166" t="s">
        <v>293</v>
      </c>
      <c r="C65" s="166" t="s">
        <v>247</v>
      </c>
      <c r="D65" s="166" t="s">
        <v>86</v>
      </c>
      <c r="E65" s="166">
        <v>0.06</v>
      </c>
      <c r="F65" s="166">
        <v>6.3060603005999999E-2</v>
      </c>
      <c r="G65" s="166">
        <v>6.6277327524672289E-2</v>
      </c>
      <c r="H65" s="166">
        <v>6.9658137322199901E-2</v>
      </c>
      <c r="I65" s="166">
        <v>7.3211402396878025E-2</v>
      </c>
      <c r="J65" s="166">
        <v>7.6945919701034052E-2</v>
      </c>
      <c r="K65" s="166">
        <v>8.087093491997438E-2</v>
      </c>
      <c r="L65" s="166">
        <v>0.01</v>
      </c>
      <c r="M65" s="166" t="s">
        <v>77</v>
      </c>
      <c r="N65" s="166"/>
    </row>
    <row r="66" spans="1:14" x14ac:dyDescent="0.35">
      <c r="A66" s="166" t="s">
        <v>293</v>
      </c>
      <c r="B66" s="166" t="s">
        <v>293</v>
      </c>
      <c r="C66" s="166" t="s">
        <v>248</v>
      </c>
      <c r="D66" s="166" t="s">
        <v>86</v>
      </c>
      <c r="E66" s="166">
        <v>0.2</v>
      </c>
      <c r="F66" s="166">
        <v>0.21020201002</v>
      </c>
      <c r="G66" s="166">
        <v>0.22092442508224097</v>
      </c>
      <c r="H66" s="166">
        <v>0.23219379107399971</v>
      </c>
      <c r="I66" s="166">
        <v>0.24403800798959341</v>
      </c>
      <c r="J66" s="166">
        <v>0.25648639900344689</v>
      </c>
      <c r="K66" s="166">
        <v>0.26956978306658125</v>
      </c>
      <c r="L66" s="166">
        <v>0.01</v>
      </c>
      <c r="M66" s="166" t="s">
        <v>77</v>
      </c>
      <c r="N66" s="166"/>
    </row>
    <row r="67" spans="1:14" x14ac:dyDescent="0.35">
      <c r="A67" s="166" t="s">
        <v>293</v>
      </c>
      <c r="B67" s="166" t="s">
        <v>293</v>
      </c>
      <c r="C67" s="166" t="s">
        <v>249</v>
      </c>
      <c r="D67" s="166" t="s">
        <v>91</v>
      </c>
      <c r="E67" s="166">
        <v>0.3</v>
      </c>
      <c r="F67" s="166">
        <v>0.23213428124999999</v>
      </c>
      <c r="G67" s="166">
        <v>0.17962108177151367</v>
      </c>
      <c r="H67" s="166">
        <v>0.138987369047926</v>
      </c>
      <c r="I67" s="166">
        <v>0.10754577672256264</v>
      </c>
      <c r="J67" s="166">
        <v>8.3216871936550196E-2</v>
      </c>
      <c r="K67" s="166">
        <v>6.4391629182881244E-2</v>
      </c>
      <c r="L67" s="166">
        <v>-0.05</v>
      </c>
      <c r="M67" s="166" t="s">
        <v>77</v>
      </c>
      <c r="N67" s="166"/>
    </row>
    <row r="68" spans="1:14" x14ac:dyDescent="0.35">
      <c r="A68" s="166" t="s">
        <v>293</v>
      </c>
      <c r="B68" s="166" t="s">
        <v>293</v>
      </c>
      <c r="C68" s="166" t="s">
        <v>119</v>
      </c>
      <c r="D68" s="166" t="s">
        <v>86</v>
      </c>
      <c r="E68" s="166">
        <v>1.6445519999999998E-2</v>
      </c>
      <c r="F68" s="166">
        <v>1.4699057108133597E-2</v>
      </c>
      <c r="G68" s="166">
        <v>1.2001552473199846E-2</v>
      </c>
      <c r="H68" s="166">
        <v>9.2929308019636721E-3</v>
      </c>
      <c r="I68" s="166">
        <v>6.9488527537641311E-3</v>
      </c>
      <c r="J68" s="166">
        <v>5.0691955676443719E-3</v>
      </c>
      <c r="K68" s="166">
        <v>3.6304528804728406E-3</v>
      </c>
      <c r="L68" s="166"/>
      <c r="M68" s="166"/>
      <c r="N68" s="166"/>
    </row>
    <row r="72" spans="1:14" x14ac:dyDescent="0.35">
      <c r="A72" t="s">
        <v>544</v>
      </c>
    </row>
  </sheetData>
  <hyperlinks>
    <hyperlink ref="M2" r:id="rId1" display="https://www.pwc.se/sv/pdf-reports/corporate-finance/riskpremiestudien-2021.pdf, samt https://www.riksgalden.se/sv/var-verksamhet/statslanerantan/" xr:uid="{7445BA4E-D26E-4A48-A22A-7AE4840C49D0}"/>
    <hyperlink ref="M4" r:id="rId2" display="https://firmalan.com/sv/lana-pengar/jamfor-lan/" xr:uid="{2A67FC20-115C-40AE-A44E-A04BE2A82AFD}"/>
    <hyperlink ref="M3" r:id="rId3" display="https://firmalan.com/sv/lana-pengar/jamfor-lan/" xr:uid="{B33F4553-E86A-46E0-A602-F277EB95C555}"/>
    <hyperlink ref="N14" r:id="rId4" xr:uid="{60295840-A348-4971-8A5D-9BB0D7AC7A92}"/>
    <hyperlink ref="M5" r:id="rId5" display="https://trafikverket.diva-portal.org/smash/get/diva2:1749263/FULLTEXT01.pdf" xr:uid="{9EA7CF46-C482-4B94-B603-1A4DB931F54F}"/>
    <hyperlink ref="M33" r:id="rId6" display="https://www.eea.europa.eu/ims/greenhouse-gas-emission-intensity-of-1" xr:uid="{3D660F0A-3AFE-43A4-8F09-709357FFB293}"/>
  </hyperlinks>
  <pageMargins left="0.7" right="0.7" top="0.75" bottom="0.75" header="0.3" footer="0.3"/>
  <pageSetup paperSize="9" orientation="portrait" r:id="rId7"/>
  <drawing r:id="rId8"/>
  <legacy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AAED0-CCC2-4DF4-AB5E-A054365F6ED9}">
  <dimension ref="A1:V71"/>
  <sheetViews>
    <sheetView zoomScaleNormal="100" workbookViewId="0">
      <selection activeCell="E9" sqref="E9"/>
    </sheetView>
  </sheetViews>
  <sheetFormatPr defaultColWidth="8.81640625" defaultRowHeight="14.5" x14ac:dyDescent="0.35"/>
  <cols>
    <col min="3" max="3" width="39.453125" bestFit="1" customWidth="1"/>
    <col min="4" max="4" width="26.36328125" bestFit="1" customWidth="1"/>
    <col min="5" max="5" width="9.26953125" customWidth="1"/>
    <col min="12" max="12" width="13.1796875" bestFit="1" customWidth="1"/>
    <col min="13" max="13" width="15.453125" customWidth="1"/>
    <col min="14" max="15" width="66.36328125" customWidth="1"/>
  </cols>
  <sheetData>
    <row r="1" spans="1:16" ht="15" thickBot="1" x14ac:dyDescent="0.4">
      <c r="A1" s="47" t="s">
        <v>80</v>
      </c>
      <c r="B1" s="47" t="s">
        <v>82</v>
      </c>
      <c r="C1" s="47" t="s">
        <v>81</v>
      </c>
      <c r="D1" s="47" t="s">
        <v>83</v>
      </c>
      <c r="E1" s="47">
        <v>2020</v>
      </c>
      <c r="F1" s="47">
        <v>2025</v>
      </c>
      <c r="G1" s="47">
        <v>2030</v>
      </c>
      <c r="H1" s="47">
        <v>2035</v>
      </c>
      <c r="I1" s="47">
        <v>2040</v>
      </c>
      <c r="J1" s="47">
        <v>2045</v>
      </c>
      <c r="K1" s="47">
        <v>2050</v>
      </c>
      <c r="L1" s="47" t="s">
        <v>0</v>
      </c>
      <c r="M1" s="4" t="s">
        <v>98</v>
      </c>
      <c r="N1" s="4" t="s">
        <v>99</v>
      </c>
    </row>
    <row r="2" spans="1:16" x14ac:dyDescent="0.35">
      <c r="A2" t="s">
        <v>96</v>
      </c>
      <c r="B2" t="s">
        <v>88</v>
      </c>
      <c r="C2" t="s">
        <v>84</v>
      </c>
      <c r="D2" t="s">
        <v>85</v>
      </c>
      <c r="E2" s="48">
        <v>0.03</v>
      </c>
      <c r="F2" s="36" cm="1">
        <f t="array" ref="F2:K2">E2*POWER(1+$L2,F$1:K$1-$E$1)</f>
        <v>0.03</v>
      </c>
      <c r="G2" s="71">
        <v>0.03</v>
      </c>
      <c r="H2" s="71">
        <v>0.03</v>
      </c>
      <c r="I2" s="71">
        <v>0.03</v>
      </c>
      <c r="J2" s="71">
        <v>0.03</v>
      </c>
      <c r="K2" s="72">
        <v>0.03</v>
      </c>
      <c r="L2" s="9">
        <v>0</v>
      </c>
      <c r="M2" s="59" t="s">
        <v>101</v>
      </c>
      <c r="N2" s="61" t="s">
        <v>100</v>
      </c>
    </row>
    <row r="3" spans="1:16" x14ac:dyDescent="0.35">
      <c r="A3" t="s">
        <v>96</v>
      </c>
      <c r="B3" t="s">
        <v>88</v>
      </c>
      <c r="C3" t="s">
        <v>510</v>
      </c>
      <c r="D3" t="s">
        <v>85</v>
      </c>
      <c r="E3" s="48">
        <v>0.08</v>
      </c>
      <c r="F3" s="31" cm="1">
        <f t="array" ref="F3:K3">E3*POWER(1+$L3,F$1:K$1-$E$1)</f>
        <v>0.08</v>
      </c>
      <c r="G3" s="31">
        <v>0.08</v>
      </c>
      <c r="H3" s="31">
        <v>0.08</v>
      </c>
      <c r="I3" s="31">
        <v>0.08</v>
      </c>
      <c r="J3" s="31">
        <v>0.08</v>
      </c>
      <c r="K3" s="53">
        <v>0.08</v>
      </c>
      <c r="L3" s="9">
        <v>0</v>
      </c>
      <c r="M3" s="59" t="s">
        <v>103</v>
      </c>
      <c r="N3" s="61" t="s">
        <v>535</v>
      </c>
    </row>
    <row r="4" spans="1:16" x14ac:dyDescent="0.35">
      <c r="A4" t="s">
        <v>96</v>
      </c>
      <c r="B4" t="s">
        <v>88</v>
      </c>
      <c r="C4" t="s">
        <v>511</v>
      </c>
      <c r="D4" t="s">
        <v>85</v>
      </c>
      <c r="E4" s="48">
        <v>0.12</v>
      </c>
      <c r="F4" s="31" cm="1">
        <f t="array" ref="F4:K4">E4*POWER(1+$L4,F$1:K$1-$E$1)</f>
        <v>0.12</v>
      </c>
      <c r="G4" s="31">
        <v>0.12</v>
      </c>
      <c r="H4" s="31">
        <v>0.12</v>
      </c>
      <c r="I4" s="31">
        <v>0.12</v>
      </c>
      <c r="J4" s="31">
        <v>0.12</v>
      </c>
      <c r="K4" s="53">
        <v>0.12</v>
      </c>
      <c r="L4" s="9">
        <v>0</v>
      </c>
      <c r="M4" s="59" t="s">
        <v>103</v>
      </c>
      <c r="N4" s="61" t="s">
        <v>536</v>
      </c>
    </row>
    <row r="5" spans="1:16" x14ac:dyDescent="0.35">
      <c r="A5" t="s">
        <v>96</v>
      </c>
      <c r="B5" t="s">
        <v>88</v>
      </c>
      <c r="C5" t="s">
        <v>512</v>
      </c>
      <c r="D5" t="s">
        <v>85</v>
      </c>
      <c r="E5" s="176">
        <v>1</v>
      </c>
      <c r="F5" s="71" cm="1">
        <f t="array" ref="F5:K5">E5*POWER(1+$L5,F$1:K$1-$E$1)</f>
        <v>1.1040808032</v>
      </c>
      <c r="G5" s="71">
        <v>1.2189944199947571</v>
      </c>
      <c r="H5" s="71">
        <v>1.3458683383241292</v>
      </c>
      <c r="I5" s="71">
        <v>1.4859473959783542</v>
      </c>
      <c r="J5" s="71">
        <v>1.6406059944647295</v>
      </c>
      <c r="K5" s="72">
        <v>1.8113615841033535</v>
      </c>
      <c r="L5" s="9">
        <v>0.02</v>
      </c>
      <c r="M5" s="59" t="s">
        <v>513</v>
      </c>
      <c r="N5" s="61" t="s">
        <v>514</v>
      </c>
    </row>
    <row r="6" spans="1:16" x14ac:dyDescent="0.35">
      <c r="A6" t="s">
        <v>96</v>
      </c>
      <c r="B6" t="s">
        <v>294</v>
      </c>
      <c r="C6" t="s">
        <v>295</v>
      </c>
      <c r="D6" t="s">
        <v>24</v>
      </c>
      <c r="E6" s="134">
        <f>15/60</f>
        <v>0.25</v>
      </c>
      <c r="F6" s="74" cm="1">
        <f t="array" ref="F6:K6">E6*POWER(1+$L6,F$1:K$1-$E$1)</f>
        <v>0.21468350642499998</v>
      </c>
      <c r="G6" s="74">
        <v>0.18435603172373205</v>
      </c>
      <c r="H6" s="74">
        <v>0.15831279728419731</v>
      </c>
      <c r="I6" s="74">
        <v>0.13594858573168678</v>
      </c>
      <c r="J6" s="74">
        <v>0.11674367631359295</v>
      </c>
      <c r="K6" s="135">
        <v>0.1002517671357894</v>
      </c>
      <c r="L6" s="9">
        <v>-0.03</v>
      </c>
      <c r="M6" s="182" t="s">
        <v>77</v>
      </c>
      <c r="N6" s="61" t="s">
        <v>296</v>
      </c>
    </row>
    <row r="7" spans="1:16" x14ac:dyDescent="0.35">
      <c r="A7" t="s">
        <v>96</v>
      </c>
      <c r="B7" t="s">
        <v>93</v>
      </c>
      <c r="C7" t="s">
        <v>122</v>
      </c>
      <c r="D7" t="s">
        <v>90</v>
      </c>
      <c r="E7" s="52">
        <v>0.7</v>
      </c>
      <c r="F7" s="12" cm="1">
        <f t="array" ref="F7:K7">E7*POWER(1+$L7,F$1:K$1-$E$1)</f>
        <v>0.7</v>
      </c>
      <c r="G7" s="12">
        <v>0.7</v>
      </c>
      <c r="H7" s="12">
        <v>0.7</v>
      </c>
      <c r="I7" s="12">
        <v>0.7</v>
      </c>
      <c r="J7" s="12">
        <v>0.7</v>
      </c>
      <c r="K7" s="13">
        <v>0.7</v>
      </c>
      <c r="L7" s="9">
        <v>0</v>
      </c>
      <c r="M7" s="59" t="s">
        <v>110</v>
      </c>
      <c r="N7" s="60" t="s">
        <v>543</v>
      </c>
    </row>
    <row r="8" spans="1:16" x14ac:dyDescent="0.35">
      <c r="A8" t="s">
        <v>96</v>
      </c>
      <c r="B8" t="s">
        <v>93</v>
      </c>
      <c r="C8" t="s">
        <v>120</v>
      </c>
      <c r="D8" t="s">
        <v>121</v>
      </c>
      <c r="E8" s="51">
        <v>0.2</v>
      </c>
      <c r="F8" s="36">
        <f t="shared" ref="F8:K8" si="0">E8+$L8</f>
        <v>0.25</v>
      </c>
      <c r="G8" s="36">
        <f t="shared" si="0"/>
        <v>0.3</v>
      </c>
      <c r="H8" s="36">
        <f t="shared" si="0"/>
        <v>0.35</v>
      </c>
      <c r="I8" s="36">
        <f t="shared" si="0"/>
        <v>0.39999999999999997</v>
      </c>
      <c r="J8" s="36">
        <f t="shared" si="0"/>
        <v>0.44999999999999996</v>
      </c>
      <c r="K8" s="8">
        <f t="shared" si="0"/>
        <v>0.49999999999999994</v>
      </c>
      <c r="L8" s="189">
        <v>0.05</v>
      </c>
      <c r="M8" s="5" t="s">
        <v>238</v>
      </c>
    </row>
    <row r="9" spans="1:16" ht="14.5" customHeight="1" x14ac:dyDescent="0.35">
      <c r="A9" t="s">
        <v>96</v>
      </c>
      <c r="B9" t="s">
        <v>557</v>
      </c>
      <c r="C9" t="s">
        <v>118</v>
      </c>
      <c r="D9" t="s">
        <v>87</v>
      </c>
      <c r="E9" s="50">
        <v>1</v>
      </c>
      <c r="F9" s="15" cm="1">
        <f t="array" ref="F9:K9">E9*POWER(1+$L9,F$1:K$1-$E$1)</f>
        <v>1.0510100500999999</v>
      </c>
      <c r="G9" s="15">
        <v>1.1046221254112047</v>
      </c>
      <c r="H9" s="15">
        <v>1.1609689553699984</v>
      </c>
      <c r="I9" s="15">
        <v>1.220190039947967</v>
      </c>
      <c r="J9" s="15">
        <v>1.2824319950172343</v>
      </c>
      <c r="K9" s="16">
        <v>1.3478489153329063</v>
      </c>
      <c r="L9" s="189">
        <v>0.01</v>
      </c>
      <c r="N9" s="61" t="s">
        <v>505</v>
      </c>
      <c r="O9" s="63"/>
      <c r="P9" s="58"/>
    </row>
    <row r="10" spans="1:16" x14ac:dyDescent="0.35">
      <c r="A10" t="s">
        <v>96</v>
      </c>
      <c r="B10" t="s">
        <v>558</v>
      </c>
      <c r="C10" t="s">
        <v>118</v>
      </c>
      <c r="D10" t="s">
        <v>87</v>
      </c>
      <c r="E10" s="50">
        <v>2</v>
      </c>
      <c r="F10" s="14">
        <f>E10</f>
        <v>2</v>
      </c>
      <c r="G10" s="30" cm="1">
        <f t="array" ref="G10:K10">F10*POWER(1+$L10,G$1:K$1-$F$1)</f>
        <v>1.9019800997999998</v>
      </c>
      <c r="H10" s="30">
        <v>1.8087641500176086</v>
      </c>
      <c r="I10" s="30">
        <v>1.7201167092825767</v>
      </c>
      <c r="J10" s="30">
        <v>1.6358138751944613</v>
      </c>
      <c r="K10" s="54">
        <v>1.5556427187982929</v>
      </c>
      <c r="L10" s="189">
        <v>-0.01</v>
      </c>
      <c r="N10" s="60" t="s">
        <v>106</v>
      </c>
      <c r="O10" s="63" t="s">
        <v>502</v>
      </c>
      <c r="P10" s="58"/>
    </row>
    <row r="11" spans="1:16" x14ac:dyDescent="0.35">
      <c r="A11" t="s">
        <v>96</v>
      </c>
      <c r="B11" t="s">
        <v>558</v>
      </c>
      <c r="C11" t="s">
        <v>562</v>
      </c>
      <c r="D11" t="s">
        <v>560</v>
      </c>
      <c r="E11" s="203">
        <f>E12*1640000000</f>
        <v>574000000</v>
      </c>
      <c r="F11" s="191" cm="1">
        <f t="array" ref="F11:K11">E11*POWER(1+$L11,F$1:K$1-$E$1)</f>
        <v>603279768.75739992</v>
      </c>
      <c r="G11" s="192">
        <v>634053099.98603153</v>
      </c>
      <c r="H11" s="192">
        <v>666396180.38237906</v>
      </c>
      <c r="I11" s="192">
        <v>700389082.9301331</v>
      </c>
      <c r="J11" s="192">
        <v>736115965.13989246</v>
      </c>
      <c r="K11" s="193">
        <v>773665277.40108824</v>
      </c>
      <c r="L11" s="189">
        <v>0.01</v>
      </c>
      <c r="M11" s="58" t="s">
        <v>561</v>
      </c>
      <c r="N11" s="60" t="s">
        <v>595</v>
      </c>
      <c r="O11" s="63" t="s">
        <v>563</v>
      </c>
      <c r="P11" s="58"/>
    </row>
    <row r="12" spans="1:16" x14ac:dyDescent="0.35">
      <c r="A12" t="s">
        <v>96</v>
      </c>
      <c r="B12" t="s">
        <v>558</v>
      </c>
      <c r="C12" t="s">
        <v>559</v>
      </c>
      <c r="D12" t="s">
        <v>2</v>
      </c>
      <c r="E12" s="51">
        <v>0.35</v>
      </c>
      <c r="F12" s="239">
        <v>0.4</v>
      </c>
      <c r="G12" s="239">
        <v>0.5</v>
      </c>
      <c r="H12" s="168">
        <f>1-(1-G12)*(1-$L12)^5</f>
        <v>0.77814734375000005</v>
      </c>
      <c r="I12" s="168">
        <f>1-(1-H12)*(1-$L12)^5</f>
        <v>0.90156279782963877</v>
      </c>
      <c r="J12" s="168">
        <f>1-(1-I12)*(1-$L12)^5</f>
        <v>0.95632289044937424</v>
      </c>
      <c r="K12" s="72">
        <f>1-(1-J12)*(1-$L12)^5</f>
        <v>0.98062023445774282</v>
      </c>
      <c r="L12" s="189">
        <v>0.15</v>
      </c>
      <c r="M12" s="42" t="s">
        <v>539</v>
      </c>
      <c r="N12" s="61" t="s">
        <v>553</v>
      </c>
      <c r="O12" s="169" t="s">
        <v>538</v>
      </c>
    </row>
    <row r="13" spans="1:16" x14ac:dyDescent="0.35">
      <c r="A13" t="s">
        <v>96</v>
      </c>
      <c r="B13" t="s">
        <v>557</v>
      </c>
      <c r="C13" t="s">
        <v>117</v>
      </c>
      <c r="D13" t="s">
        <v>89</v>
      </c>
      <c r="E13" s="49">
        <v>3.23</v>
      </c>
      <c r="F13" s="30" cm="1">
        <f t="array" ref="F13:K13">E13*POWER(1+$L13,F$1:K$1-$E$1)</f>
        <v>3.23</v>
      </c>
      <c r="G13" s="30">
        <v>3.23</v>
      </c>
      <c r="H13" s="30">
        <v>3.23</v>
      </c>
      <c r="I13" s="30">
        <v>3.23</v>
      </c>
      <c r="J13" s="30">
        <v>3.23</v>
      </c>
      <c r="K13" s="54">
        <v>3.23</v>
      </c>
      <c r="L13" s="190">
        <v>0</v>
      </c>
      <c r="N13" s="61" t="s">
        <v>107</v>
      </c>
      <c r="O13" s="58" t="s">
        <v>112</v>
      </c>
    </row>
    <row r="14" spans="1:16" x14ac:dyDescent="0.35">
      <c r="A14" t="s">
        <v>96</v>
      </c>
      <c r="B14" t="s">
        <v>558</v>
      </c>
      <c r="C14" t="s">
        <v>117</v>
      </c>
      <c r="D14" t="s">
        <v>89</v>
      </c>
      <c r="E14" s="49">
        <v>0.67</v>
      </c>
      <c r="F14" s="30" cm="1">
        <f t="array" ref="F14:K14">E14*POWER(1+$L14,F$1:K$1-$E$1)</f>
        <v>0.51843322812500003</v>
      </c>
      <c r="G14" s="30">
        <v>0.40115374928971387</v>
      </c>
      <c r="H14" s="30">
        <v>0.31040512420703475</v>
      </c>
      <c r="I14" s="30">
        <v>0.24018556801372326</v>
      </c>
      <c r="J14" s="30">
        <v>0.18585101399162879</v>
      </c>
      <c r="K14" s="54">
        <v>0.14380797184176813</v>
      </c>
      <c r="L14" s="190">
        <v>-0.05</v>
      </c>
      <c r="N14" s="61" t="s">
        <v>108</v>
      </c>
      <c r="O14" s="62"/>
    </row>
    <row r="15" spans="1:16" x14ac:dyDescent="0.35">
      <c r="A15" t="s">
        <v>96</v>
      </c>
      <c r="B15" t="s">
        <v>115</v>
      </c>
      <c r="C15" t="s">
        <v>118</v>
      </c>
      <c r="D15" t="s">
        <v>87</v>
      </c>
      <c r="E15" s="37" cm="1">
        <f t="array" ref="E15:K15">(1-E12:K12)*E9:K9+E12:K12*E10:K10</f>
        <v>1.35</v>
      </c>
      <c r="F15" s="15">
        <v>1.4306060300599999</v>
      </c>
      <c r="G15" s="15">
        <v>1.5033011126056022</v>
      </c>
      <c r="H15" s="15">
        <v>1.6650490653790504</v>
      </c>
      <c r="I15" s="15">
        <v>1.6709053266629303</v>
      </c>
      <c r="J15" s="15">
        <v>1.6203791761007547</v>
      </c>
      <c r="K15" s="16">
        <v>1.5516157236059998</v>
      </c>
      <c r="L15" s="189" t="s">
        <v>95</v>
      </c>
      <c r="M15" s="186" t="s">
        <v>111</v>
      </c>
      <c r="N15" s="60"/>
    </row>
    <row r="16" spans="1:16" x14ac:dyDescent="0.35">
      <c r="A16" t="s">
        <v>96</v>
      </c>
      <c r="B16" t="s">
        <v>115</v>
      </c>
      <c r="C16" t="s">
        <v>117</v>
      </c>
      <c r="D16" t="s">
        <v>89</v>
      </c>
      <c r="E16" s="37" cm="1">
        <f t="array" ref="E16:K16">(1-E12:K12)*E13:K13+E12:K12*E14:K14</f>
        <v>2.3340000000000001</v>
      </c>
      <c r="F16" s="15">
        <v>2.1453732912499999</v>
      </c>
      <c r="G16" s="15">
        <v>1.8155768746448568</v>
      </c>
      <c r="H16" s="15">
        <v>0.95812500257559274</v>
      </c>
      <c r="I16" s="15">
        <v>0.5344945357070201</v>
      </c>
      <c r="J16" s="15">
        <v>0.31881064274194271</v>
      </c>
      <c r="K16" s="16">
        <v>0.20361764976585783</v>
      </c>
      <c r="L16" s="189" t="s">
        <v>95</v>
      </c>
      <c r="M16" s="187" t="s">
        <v>95</v>
      </c>
      <c r="N16" s="60"/>
    </row>
    <row r="17" spans="1:22" x14ac:dyDescent="0.35">
      <c r="A17" t="s">
        <v>96</v>
      </c>
      <c r="B17" t="s">
        <v>115</v>
      </c>
      <c r="C17" t="s">
        <v>119</v>
      </c>
      <c r="D17" t="s">
        <v>87</v>
      </c>
      <c r="E17" s="37" cm="1">
        <f t="array" ref="E17:K17">E16:K16*E8:K8*E7:K7</f>
        <v>0.32675999999999999</v>
      </c>
      <c r="F17" s="15">
        <v>0.37544032596874993</v>
      </c>
      <c r="G17" s="15">
        <v>0.38127114367541992</v>
      </c>
      <c r="H17" s="15">
        <v>0.23474062563102022</v>
      </c>
      <c r="I17" s="15">
        <v>0.14965846999796562</v>
      </c>
      <c r="J17" s="15">
        <v>0.10042535246371194</v>
      </c>
      <c r="K17" s="16">
        <v>7.1266177418050233E-2</v>
      </c>
      <c r="L17" s="189" t="s">
        <v>95</v>
      </c>
      <c r="M17" s="5" t="s">
        <v>95</v>
      </c>
      <c r="N17" s="61" t="s">
        <v>594</v>
      </c>
    </row>
    <row r="18" spans="1:22" x14ac:dyDescent="0.35">
      <c r="A18" t="s">
        <v>96</v>
      </c>
      <c r="B18" t="s">
        <v>115</v>
      </c>
      <c r="C18" t="s">
        <v>506</v>
      </c>
      <c r="D18" t="s">
        <v>87</v>
      </c>
      <c r="E18" s="52">
        <v>0.02</v>
      </c>
      <c r="F18" s="15" cm="1">
        <f t="array" ref="F18:K18">E18*POWER(1+$L18,F$1:K$1-$E$1)</f>
        <v>3.2210200000000008E-2</v>
      </c>
      <c r="G18" s="15">
        <v>5.1874849202000035E-2</v>
      </c>
      <c r="H18" s="15">
        <v>8.3544963388313104E-2</v>
      </c>
      <c r="I18" s="15">
        <v>0.13454999898651218</v>
      </c>
      <c r="J18" s="15">
        <v>0.21669411886776782</v>
      </c>
      <c r="K18" s="16">
        <v>0.34898804537772893</v>
      </c>
      <c r="L18" s="189">
        <v>0.1</v>
      </c>
      <c r="M18" s="5" t="s">
        <v>77</v>
      </c>
      <c r="N18" s="18" t="s">
        <v>556</v>
      </c>
    </row>
    <row r="19" spans="1:22" x14ac:dyDescent="0.35">
      <c r="A19" t="s">
        <v>96</v>
      </c>
      <c r="B19" t="s">
        <v>115</v>
      </c>
      <c r="C19" t="s">
        <v>113</v>
      </c>
      <c r="D19" t="s">
        <v>87</v>
      </c>
      <c r="E19" s="52">
        <v>0.2</v>
      </c>
      <c r="F19" s="15" cm="1">
        <f t="array" ref="F19:K19">E19*POWER(1+$L19,F$1:K$1-$E$1)</f>
        <v>0.2</v>
      </c>
      <c r="G19" s="15">
        <v>0.2</v>
      </c>
      <c r="H19" s="15">
        <v>0.2</v>
      </c>
      <c r="I19" s="15">
        <v>0.2</v>
      </c>
      <c r="J19" s="15">
        <v>0.2</v>
      </c>
      <c r="K19" s="16">
        <v>0.2</v>
      </c>
      <c r="L19" s="189">
        <v>0</v>
      </c>
      <c r="M19" s="188" t="s">
        <v>123</v>
      </c>
      <c r="N19" s="61" t="s">
        <v>503</v>
      </c>
    </row>
    <row r="20" spans="1:22" x14ac:dyDescent="0.35">
      <c r="A20" t="s">
        <v>96</v>
      </c>
      <c r="B20" t="s">
        <v>116</v>
      </c>
      <c r="C20" t="s">
        <v>124</v>
      </c>
      <c r="D20" t="s">
        <v>10</v>
      </c>
      <c r="E20" s="67">
        <f>vehicles!X25</f>
        <v>4.163731764705882</v>
      </c>
      <c r="F20" s="12">
        <f t="shared" ref="F20:K20" si="1">E20</f>
        <v>4.163731764705882</v>
      </c>
      <c r="G20" s="12">
        <f t="shared" si="1"/>
        <v>4.163731764705882</v>
      </c>
      <c r="H20" s="12">
        <f t="shared" si="1"/>
        <v>4.163731764705882</v>
      </c>
      <c r="I20" s="12">
        <f t="shared" si="1"/>
        <v>4.163731764705882</v>
      </c>
      <c r="J20" s="12">
        <f t="shared" si="1"/>
        <v>4.163731764705882</v>
      </c>
      <c r="K20" s="13">
        <f t="shared" si="1"/>
        <v>4.163731764705882</v>
      </c>
      <c r="L20" s="189" t="s">
        <v>95</v>
      </c>
      <c r="M20" s="5" t="s">
        <v>95</v>
      </c>
      <c r="N20" s="61"/>
    </row>
    <row r="21" spans="1:22" x14ac:dyDescent="0.35">
      <c r="A21" t="s">
        <v>96</v>
      </c>
      <c r="B21" t="s">
        <v>116</v>
      </c>
      <c r="C21" t="s">
        <v>113</v>
      </c>
      <c r="D21" t="s">
        <v>86</v>
      </c>
      <c r="E21" s="37" cm="1">
        <f t="array" ref="E21:K21">E19:K19/E20:K20</f>
        <v>4.8033833902392999E-2</v>
      </c>
      <c r="F21" s="15">
        <v>4.8033833902392999E-2</v>
      </c>
      <c r="G21" s="15">
        <v>4.8033833902392999E-2</v>
      </c>
      <c r="H21" s="15">
        <v>4.8033833902392999E-2</v>
      </c>
      <c r="I21" s="15">
        <v>4.8033833902392999E-2</v>
      </c>
      <c r="J21" s="15">
        <v>4.8033833902392999E-2</v>
      </c>
      <c r="K21" s="16">
        <v>4.8033833902392999E-2</v>
      </c>
      <c r="L21" s="189" t="s">
        <v>95</v>
      </c>
      <c r="M21" s="5" t="s">
        <v>95</v>
      </c>
      <c r="N21" s="60"/>
    </row>
    <row r="22" spans="1:22" x14ac:dyDescent="0.35">
      <c r="A22" t="s">
        <v>245</v>
      </c>
      <c r="B22" t="s">
        <v>245</v>
      </c>
      <c r="C22" t="s">
        <v>247</v>
      </c>
      <c r="D22" t="s">
        <v>86</v>
      </c>
      <c r="E22" s="185">
        <f>'electricity price curves'!B26/1000</f>
        <v>3.4458739726027407E-2</v>
      </c>
      <c r="F22" s="87" cm="1">
        <f t="array" ref="F22:K22">E22*POWER(1+$L22,F$1:K$1-$E$1)</f>
        <v>3.4458739726027407E-2</v>
      </c>
      <c r="G22" s="87">
        <v>3.4458739726027407E-2</v>
      </c>
      <c r="H22" s="87">
        <v>3.4458739726027407E-2</v>
      </c>
      <c r="I22" s="87">
        <v>3.4458739726027407E-2</v>
      </c>
      <c r="J22" s="87">
        <v>3.4458739726027407E-2</v>
      </c>
      <c r="K22" s="88">
        <v>3.4458739726027407E-2</v>
      </c>
      <c r="L22" s="189">
        <v>0</v>
      </c>
      <c r="M22" s="188" t="s">
        <v>105</v>
      </c>
      <c r="N22" s="61" t="s">
        <v>550</v>
      </c>
    </row>
    <row r="23" spans="1:22" x14ac:dyDescent="0.35">
      <c r="A23" t="s">
        <v>245</v>
      </c>
      <c r="B23" t="s">
        <v>245</v>
      </c>
      <c r="C23" t="s">
        <v>248</v>
      </c>
      <c r="D23" t="s">
        <v>86</v>
      </c>
      <c r="E23" s="185">
        <f>'electricity price curves'!B27/1000</f>
        <v>4.8860986301369896E-2</v>
      </c>
      <c r="F23" s="87" cm="1">
        <f t="array" ref="F23:K23">E23*POWER(1+$L23,F$1:K$1-$E$1)</f>
        <v>4.8860986301369896E-2</v>
      </c>
      <c r="G23" s="87">
        <v>4.8860986301369896E-2</v>
      </c>
      <c r="H23" s="87">
        <v>4.8860986301369896E-2</v>
      </c>
      <c r="I23" s="87">
        <v>4.8860986301369896E-2</v>
      </c>
      <c r="J23" s="87">
        <v>4.8860986301369896E-2</v>
      </c>
      <c r="K23" s="88">
        <v>4.8860986301369896E-2</v>
      </c>
      <c r="L23" s="189">
        <v>0</v>
      </c>
      <c r="M23" s="188" t="s">
        <v>105</v>
      </c>
      <c r="N23" s="61" t="s">
        <v>549</v>
      </c>
    </row>
    <row r="24" spans="1:22" x14ac:dyDescent="0.35">
      <c r="A24" t="s">
        <v>245</v>
      </c>
      <c r="B24" t="s">
        <v>245</v>
      </c>
      <c r="C24" t="s">
        <v>249</v>
      </c>
      <c r="D24" t="s">
        <v>91</v>
      </c>
      <c r="E24" s="52">
        <v>0.01</v>
      </c>
      <c r="F24" s="55" cm="1">
        <f t="array" ref="F24:K24">E24*POWER(1+$L24,F$1:K$1-$E$1)</f>
        <v>9.0392079679999984E-3</v>
      </c>
      <c r="G24" s="55">
        <v>8.1707280688754665E-3</v>
      </c>
      <c r="H24" s="55">
        <v>7.3856910264540358E-3</v>
      </c>
      <c r="I24" s="55">
        <v>6.6760797175509411E-3</v>
      </c>
      <c r="J24" s="55">
        <v>6.0346472977889642E-3</v>
      </c>
      <c r="K24" s="56">
        <v>5.4548431938243672E-3</v>
      </c>
      <c r="L24" s="189">
        <v>-0.02</v>
      </c>
      <c r="M24" s="5" t="s">
        <v>95</v>
      </c>
      <c r="N24" t="s">
        <v>246</v>
      </c>
    </row>
    <row r="25" spans="1:22" x14ac:dyDescent="0.35">
      <c r="A25" t="s">
        <v>245</v>
      </c>
      <c r="B25" t="s">
        <v>245</v>
      </c>
      <c r="C25" t="s">
        <v>119</v>
      </c>
      <c r="D25" t="s">
        <v>86</v>
      </c>
      <c r="E25" s="66" cm="1">
        <f t="array" ref="E25:K25">E24:K24*E8:K8*E7:K7</f>
        <v>1.4E-3</v>
      </c>
      <c r="F25" s="55">
        <v>1.5818613943999996E-3</v>
      </c>
      <c r="G25" s="55">
        <v>1.7158528944638477E-3</v>
      </c>
      <c r="H25" s="55">
        <v>1.8094943014812384E-3</v>
      </c>
      <c r="I25" s="55">
        <v>1.869302320914263E-3</v>
      </c>
      <c r="J25" s="55">
        <v>1.9009138988035235E-3</v>
      </c>
      <c r="K25" s="56">
        <v>1.909195117838528E-3</v>
      </c>
      <c r="L25" s="189" t="s">
        <v>95</v>
      </c>
      <c r="M25" s="5" t="s">
        <v>95</v>
      </c>
    </row>
    <row r="26" spans="1:22" x14ac:dyDescent="0.35">
      <c r="A26" t="s">
        <v>244</v>
      </c>
      <c r="B26" t="s">
        <v>244</v>
      </c>
      <c r="C26" t="s">
        <v>247</v>
      </c>
      <c r="D26" t="s">
        <v>86</v>
      </c>
      <c r="E26" s="185">
        <f>AVERAGE('electricity price curves'!D26:E26)/1000</f>
        <v>4.3459219178082202E-2</v>
      </c>
      <c r="F26" s="87" cm="1">
        <f t="array" ref="F26:K26">E26*POWER(1+$L26,F$1:K$1-$E$1)</f>
        <v>4.3459219178082202E-2</v>
      </c>
      <c r="G26" s="87">
        <v>4.3459219178082202E-2</v>
      </c>
      <c r="H26" s="87">
        <v>4.3459219178082202E-2</v>
      </c>
      <c r="I26" s="87">
        <v>4.3459219178082202E-2</v>
      </c>
      <c r="J26" s="87">
        <v>4.3459219178082202E-2</v>
      </c>
      <c r="K26" s="88">
        <v>4.3459219178082202E-2</v>
      </c>
      <c r="L26" s="189">
        <v>0</v>
      </c>
      <c r="M26" s="188" t="s">
        <v>105</v>
      </c>
      <c r="N26" s="61" t="s">
        <v>550</v>
      </c>
    </row>
    <row r="27" spans="1:22" x14ac:dyDescent="0.35">
      <c r="A27" t="s">
        <v>244</v>
      </c>
      <c r="B27" t="s">
        <v>244</v>
      </c>
      <c r="C27" t="s">
        <v>248</v>
      </c>
      <c r="D27" t="s">
        <v>86</v>
      </c>
      <c r="E27" s="185">
        <f>AVERAGE('electricity price curves'!D27:E27)/1000</f>
        <v>9.7833534246575302E-2</v>
      </c>
      <c r="F27" s="87" cm="1">
        <f t="array" ref="F27:K27">E27*POWER(1+$L27,F$1:K$1-$E$1)</f>
        <v>9.7833534246575302E-2</v>
      </c>
      <c r="G27" s="87">
        <v>9.7833534246575302E-2</v>
      </c>
      <c r="H27" s="87">
        <v>9.7833534246575302E-2</v>
      </c>
      <c r="I27" s="87">
        <v>9.7833534246575302E-2</v>
      </c>
      <c r="J27" s="87">
        <v>9.7833534246575302E-2</v>
      </c>
      <c r="K27" s="88">
        <v>9.7833534246575302E-2</v>
      </c>
      <c r="L27" s="189">
        <v>0</v>
      </c>
      <c r="M27" s="188" t="s">
        <v>105</v>
      </c>
      <c r="N27" s="61" t="s">
        <v>549</v>
      </c>
      <c r="P27" s="137" cm="1">
        <f t="array" ref="P27:V27">E27:K27-E26:K26</f>
        <v>5.43743150684931E-2</v>
      </c>
      <c r="Q27">
        <v>5.43743150684931E-2</v>
      </c>
      <c r="R27">
        <v>5.43743150684931E-2</v>
      </c>
      <c r="S27">
        <v>5.43743150684931E-2</v>
      </c>
      <c r="T27">
        <v>5.43743150684931E-2</v>
      </c>
      <c r="U27">
        <v>5.43743150684931E-2</v>
      </c>
      <c r="V27">
        <v>5.43743150684931E-2</v>
      </c>
    </row>
    <row r="28" spans="1:22" x14ac:dyDescent="0.35">
      <c r="A28" t="s">
        <v>244</v>
      </c>
      <c r="B28" t="s">
        <v>244</v>
      </c>
      <c r="C28" t="s">
        <v>249</v>
      </c>
      <c r="D28" t="s">
        <v>91</v>
      </c>
      <c r="E28" s="52">
        <v>0.09</v>
      </c>
      <c r="F28" s="55" cm="1">
        <f t="array" ref="F28:K28">E28*POWER(1+$L28,F$1:K$1-$E$1)</f>
        <v>6.9640284375E-2</v>
      </c>
      <c r="G28" s="55">
        <v>5.3886324531454095E-2</v>
      </c>
      <c r="H28" s="55">
        <v>4.1696210714377797E-2</v>
      </c>
      <c r="I28" s="55">
        <v>3.2263733016768791E-2</v>
      </c>
      <c r="J28" s="55">
        <v>2.4965061580965058E-2</v>
      </c>
      <c r="K28" s="56">
        <v>1.9317488754864373E-2</v>
      </c>
      <c r="L28" s="189">
        <v>-0.05</v>
      </c>
      <c r="M28" s="188" t="s">
        <v>229</v>
      </c>
      <c r="N28" s="61" t="s">
        <v>230</v>
      </c>
    </row>
    <row r="29" spans="1:22" x14ac:dyDescent="0.35">
      <c r="A29" t="s">
        <v>244</v>
      </c>
      <c r="B29" t="s">
        <v>244</v>
      </c>
      <c r="C29" t="s">
        <v>119</v>
      </c>
      <c r="D29" t="s">
        <v>86</v>
      </c>
      <c r="E29" s="66" cm="1">
        <f t="array" ref="E29:K29">E28:K28*E8:K8*E7:K7</f>
        <v>1.2599999999999998E-2</v>
      </c>
      <c r="F29" s="55">
        <v>1.2187049765624999E-2</v>
      </c>
      <c r="G29" s="55">
        <v>1.131612815160536E-2</v>
      </c>
      <c r="H29" s="55">
        <v>1.0215571625022559E-2</v>
      </c>
      <c r="I29" s="55">
        <v>9.0338452446952593E-3</v>
      </c>
      <c r="J29" s="55">
        <v>7.8639943980039918E-3</v>
      </c>
      <c r="K29" s="56">
        <v>6.7611210642025289E-3</v>
      </c>
      <c r="L29" s="189" t="s">
        <v>95</v>
      </c>
      <c r="M29" t="s">
        <v>95</v>
      </c>
    </row>
    <row r="30" spans="1:22" x14ac:dyDescent="0.35">
      <c r="A30" t="s">
        <v>293</v>
      </c>
      <c r="B30" t="s">
        <v>293</v>
      </c>
      <c r="C30" t="s">
        <v>247</v>
      </c>
      <c r="D30" t="s">
        <v>86</v>
      </c>
      <c r="E30" s="185">
        <f>'electricity price curves'!F26/1000</f>
        <v>7.1295287671232874E-2</v>
      </c>
      <c r="F30" s="87" cm="1">
        <f t="array" ref="F30:K30">E30*POWER(1+$L30,F$1:K$1-$E$1)</f>
        <v>7.1295287671232874E-2</v>
      </c>
      <c r="G30" s="87">
        <v>7.1295287671232874E-2</v>
      </c>
      <c r="H30" s="87">
        <v>7.1295287671232874E-2</v>
      </c>
      <c r="I30" s="87">
        <v>7.1295287671232874E-2</v>
      </c>
      <c r="J30" s="87">
        <v>7.1295287671232874E-2</v>
      </c>
      <c r="K30" s="88">
        <v>7.1295287671232874E-2</v>
      </c>
      <c r="L30" s="189">
        <v>0</v>
      </c>
      <c r="M30" t="s">
        <v>547</v>
      </c>
      <c r="N30" s="61" t="s">
        <v>551</v>
      </c>
    </row>
    <row r="31" spans="1:22" x14ac:dyDescent="0.35">
      <c r="A31" t="s">
        <v>293</v>
      </c>
      <c r="B31" t="s">
        <v>293</v>
      </c>
      <c r="C31" t="s">
        <v>248</v>
      </c>
      <c r="D31" t="s">
        <v>86</v>
      </c>
      <c r="E31" s="185">
        <f>'electricity price curves'!F27/1000</f>
        <v>0.12525539726027404</v>
      </c>
      <c r="F31" s="87" cm="1">
        <f t="array" ref="F31:K31">E31*POWER(1+$L31,F$1:K$1-$E$1)</f>
        <v>0.12525539726027404</v>
      </c>
      <c r="G31" s="87">
        <v>0.12525539726027404</v>
      </c>
      <c r="H31" s="87">
        <v>0.12525539726027404</v>
      </c>
      <c r="I31" s="87">
        <v>0.12525539726027404</v>
      </c>
      <c r="J31" s="87">
        <v>0.12525539726027404</v>
      </c>
      <c r="K31" s="88">
        <v>0.12525539726027404</v>
      </c>
      <c r="L31" s="189">
        <v>0</v>
      </c>
      <c r="M31" t="s">
        <v>547</v>
      </c>
      <c r="N31" s="61" t="s">
        <v>552</v>
      </c>
    </row>
    <row r="32" spans="1:22" x14ac:dyDescent="0.35">
      <c r="A32" t="s">
        <v>293</v>
      </c>
      <c r="B32" t="s">
        <v>293</v>
      </c>
      <c r="C32" t="s">
        <v>249</v>
      </c>
      <c r="D32" t="s">
        <v>91</v>
      </c>
      <c r="E32" s="52">
        <v>0.26500000000000001</v>
      </c>
      <c r="F32" s="55" cm="1">
        <f t="array" ref="F32:K32">E32*POWER(1+$L32,F$1:K$1-$E$1)</f>
        <v>0.17465660364800004</v>
      </c>
      <c r="G32" s="55">
        <v>0.11511294036926258</v>
      </c>
      <c r="H32" s="55">
        <v>7.5868812078604353E-2</v>
      </c>
      <c r="I32" s="55">
        <v>5.0003732228141126E-2</v>
      </c>
      <c r="J32" s="55">
        <v>3.2956536002608186E-2</v>
      </c>
      <c r="K32" s="56">
        <v>2.1721043947994647E-2</v>
      </c>
      <c r="L32" s="189">
        <v>-0.08</v>
      </c>
      <c r="M32" t="s">
        <v>546</v>
      </c>
    </row>
    <row r="33" spans="1:14" x14ac:dyDescent="0.35">
      <c r="A33" t="s">
        <v>293</v>
      </c>
      <c r="B33" t="s">
        <v>293</v>
      </c>
      <c r="C33" t="s">
        <v>119</v>
      </c>
      <c r="D33" t="s">
        <v>86</v>
      </c>
      <c r="E33" s="66" cm="1">
        <f t="array" ref="E33:K33">E32:K32*E8:K8*E7:K7</f>
        <v>3.7100000000000001E-2</v>
      </c>
      <c r="F33" s="55">
        <v>3.0564905638400003E-2</v>
      </c>
      <c r="G33" s="55">
        <v>2.4173717477545136E-2</v>
      </c>
      <c r="H33" s="55">
        <v>1.8587858959258064E-2</v>
      </c>
      <c r="I33" s="55">
        <v>1.4001045023879513E-2</v>
      </c>
      <c r="J33" s="55">
        <v>1.0381308840821576E-2</v>
      </c>
      <c r="K33" s="56">
        <v>7.6023653817981251E-3</v>
      </c>
      <c r="L33" s="189" t="s">
        <v>95</v>
      </c>
      <c r="M33" t="s">
        <v>95</v>
      </c>
    </row>
    <row r="34" spans="1:14" x14ac:dyDescent="0.35">
      <c r="E34" s="14"/>
    </row>
    <row r="35" spans="1:14" x14ac:dyDescent="0.35">
      <c r="E35" s="14"/>
      <c r="F35" s="14"/>
      <c r="G35" s="14"/>
      <c r="H35" s="14"/>
      <c r="I35" s="14"/>
      <c r="J35" s="14"/>
      <c r="K35" s="14"/>
      <c r="L35" s="9"/>
      <c r="N35" s="18"/>
    </row>
    <row r="36" spans="1:14" x14ac:dyDescent="0.35">
      <c r="C36" s="166" t="s">
        <v>554</v>
      </c>
      <c r="D36" s="166" t="s">
        <v>87</v>
      </c>
      <c r="E36" s="167" cm="1">
        <f t="array" ref="E36:K36">_xlfn.ANCHORARRAY(E15)+_xlfn.ANCHORARRAY(E17)+E18:K18+E19:K19</f>
        <v>1.89676</v>
      </c>
      <c r="F36" s="167">
        <v>2.0382565560287498</v>
      </c>
      <c r="G36" s="167">
        <v>2.1364471054830223</v>
      </c>
      <c r="H36" s="167">
        <v>2.1833346543983838</v>
      </c>
      <c r="I36" s="167">
        <v>2.155113795647408</v>
      </c>
      <c r="J36" s="167">
        <v>2.1374986474322344</v>
      </c>
      <c r="K36" s="167">
        <v>2.1718699464017792</v>
      </c>
      <c r="L36" s="9"/>
      <c r="N36" s="18"/>
    </row>
    <row r="37" spans="1:14" x14ac:dyDescent="0.35">
      <c r="C37" s="166" t="s">
        <v>555</v>
      </c>
      <c r="D37" s="166" t="s">
        <v>85</v>
      </c>
      <c r="E37" s="183" cm="1">
        <f t="array" ref="E37:K37">(_xlfn.ANCHORARRAY(E17)+E18:K18+E19:K19)/_xlfn.ANCHORARRAY(E36)</f>
        <v>0.28825998017672244</v>
      </c>
      <c r="F37" s="183">
        <v>0.2981226893010317</v>
      </c>
      <c r="G37" s="183">
        <v>0.29635463066345097</v>
      </c>
      <c r="H37" s="183">
        <v>0.23738256889535178</v>
      </c>
      <c r="I37" s="183">
        <v>0.22467884060805196</v>
      </c>
      <c r="J37" s="183">
        <v>0.24192739113668801</v>
      </c>
      <c r="K37" s="183">
        <v>0.28558534263222268</v>
      </c>
      <c r="L37" s="9"/>
      <c r="N37" s="18"/>
    </row>
    <row r="38" spans="1:14" x14ac:dyDescent="0.35">
      <c r="C38" s="166" t="s">
        <v>540</v>
      </c>
      <c r="D38" s="166" t="s">
        <v>85</v>
      </c>
      <c r="E38" s="183" cm="1">
        <f t="array" ref="E38:K38">1-_xlfn.ANCHORARRAY(E16)/E13:K13</f>
        <v>0.27739938080495352</v>
      </c>
      <c r="F38" s="183">
        <v>0.33579774264705886</v>
      </c>
      <c r="G38" s="183">
        <v>0.43790189639478116</v>
      </c>
      <c r="H38" s="183">
        <v>0.70336687226761829</v>
      </c>
      <c r="I38" s="183">
        <v>0.83452181557058203</v>
      </c>
      <c r="J38" s="183">
        <v>0.90129701463097744</v>
      </c>
      <c r="K38" s="183">
        <v>0.93696047994865084</v>
      </c>
      <c r="N38">
        <f>1.64*0.35</f>
        <v>0.57399999999999995</v>
      </c>
    </row>
    <row r="39" spans="1:14" x14ac:dyDescent="0.35">
      <c r="C39" s="166" t="s">
        <v>541</v>
      </c>
      <c r="D39" s="166" t="s">
        <v>114</v>
      </c>
      <c r="E39" s="184" cm="1">
        <f t="array" ref="E39:K39">_xlfn.ANCHORARRAY(E16)/(vehicles!E106:K106/vehicles!E103:K103)</f>
        <v>0.56055484164092628</v>
      </c>
      <c r="F39" s="184">
        <v>0.51784955530737364</v>
      </c>
      <c r="G39" s="184">
        <v>0.44045227975473522</v>
      </c>
      <c r="H39" s="184">
        <v>0.2336091638196417</v>
      </c>
      <c r="I39" s="184">
        <v>0.13097682331473859</v>
      </c>
      <c r="J39" s="184">
        <v>7.8517683087915457E-2</v>
      </c>
      <c r="K39" s="184">
        <v>5.0400351710566053E-2</v>
      </c>
    </row>
    <row r="40" spans="1:14" x14ac:dyDescent="0.35">
      <c r="C40" s="166" t="s">
        <v>545</v>
      </c>
      <c r="D40" s="166" t="s">
        <v>2</v>
      </c>
      <c r="E40" s="184" cm="1">
        <f t="array" ref="E40:K40">AVERAGE(E26:E27)*E20:K20/_xlfn.ANCHORARRAY(E15)</f>
        <v>0.21789078724333413</v>
      </c>
      <c r="F40" s="184">
        <v>0.20561395422481499</v>
      </c>
      <c r="G40" s="184">
        <v>0.1956710869911219</v>
      </c>
      <c r="H40" s="184">
        <v>0.17666299984471445</v>
      </c>
      <c r="I40" s="184">
        <v>0.17604382371918798</v>
      </c>
      <c r="J40" s="184">
        <v>0.18153316650633802</v>
      </c>
      <c r="K40" s="184">
        <v>0.18957823016570241</v>
      </c>
    </row>
    <row r="42" spans="1:14" x14ac:dyDescent="0.35">
      <c r="A42" s="4" t="s">
        <v>501</v>
      </c>
      <c r="E42" s="14"/>
    </row>
    <row r="43" spans="1:14" x14ac:dyDescent="0.35">
      <c r="A43" s="166" t="s">
        <v>80</v>
      </c>
      <c r="B43" s="166" t="s">
        <v>82</v>
      </c>
      <c r="C43" s="166" t="s">
        <v>81</v>
      </c>
      <c r="D43" s="166" t="s">
        <v>83</v>
      </c>
      <c r="E43" s="167">
        <v>2020</v>
      </c>
      <c r="F43" s="166">
        <v>2025</v>
      </c>
      <c r="G43" s="166">
        <v>2030</v>
      </c>
      <c r="H43" s="166">
        <v>2035</v>
      </c>
      <c r="I43" s="166">
        <v>2040</v>
      </c>
      <c r="J43" s="166">
        <v>2045</v>
      </c>
      <c r="K43" s="166">
        <v>2050</v>
      </c>
      <c r="L43" s="166" t="s">
        <v>0</v>
      </c>
      <c r="M43" s="166" t="s">
        <v>98</v>
      </c>
      <c r="N43" s="166" t="s">
        <v>99</v>
      </c>
    </row>
    <row r="44" spans="1:14" x14ac:dyDescent="0.35">
      <c r="A44" s="166" t="s">
        <v>96</v>
      </c>
      <c r="B44" s="166" t="s">
        <v>88</v>
      </c>
      <c r="C44" s="166" t="s">
        <v>84</v>
      </c>
      <c r="D44" s="166" t="s">
        <v>85</v>
      </c>
      <c r="E44" s="166">
        <v>0.02</v>
      </c>
      <c r="F44" s="166">
        <v>0.02</v>
      </c>
      <c r="G44" s="166">
        <v>0.02</v>
      </c>
      <c r="H44" s="166">
        <v>0.02</v>
      </c>
      <c r="I44" s="166">
        <v>0.02</v>
      </c>
      <c r="J44" s="166">
        <v>0.02</v>
      </c>
      <c r="K44" s="166">
        <v>0.02</v>
      </c>
      <c r="L44" s="166">
        <v>0</v>
      </c>
      <c r="M44" s="166" t="s">
        <v>101</v>
      </c>
      <c r="N44" s="166" t="s">
        <v>100</v>
      </c>
    </row>
    <row r="45" spans="1:14" x14ac:dyDescent="0.35">
      <c r="A45" s="166" t="s">
        <v>96</v>
      </c>
      <c r="B45" s="166" t="s">
        <v>88</v>
      </c>
      <c r="C45" s="166" t="s">
        <v>371</v>
      </c>
      <c r="D45" s="166" t="s">
        <v>85</v>
      </c>
      <c r="E45" s="166">
        <v>0.06</v>
      </c>
      <c r="F45" s="166">
        <v>0.06</v>
      </c>
      <c r="G45" s="166">
        <v>0.06</v>
      </c>
      <c r="H45" s="166">
        <v>0.06</v>
      </c>
      <c r="I45" s="166">
        <v>0.06</v>
      </c>
      <c r="J45" s="166">
        <v>0.06</v>
      </c>
      <c r="K45" s="166">
        <v>0.06</v>
      </c>
      <c r="L45" s="166">
        <v>0</v>
      </c>
      <c r="M45" s="166" t="s">
        <v>103</v>
      </c>
      <c r="N45" s="166" t="s">
        <v>102</v>
      </c>
    </row>
    <row r="46" spans="1:14" x14ac:dyDescent="0.35">
      <c r="A46" s="166" t="s">
        <v>96</v>
      </c>
      <c r="B46" s="166" t="s">
        <v>88</v>
      </c>
      <c r="C46" s="166" t="s">
        <v>372</v>
      </c>
      <c r="D46" s="166" t="s">
        <v>85</v>
      </c>
      <c r="E46" s="166">
        <v>0.12</v>
      </c>
      <c r="F46" s="166">
        <v>0.12</v>
      </c>
      <c r="G46" s="166">
        <v>0.12</v>
      </c>
      <c r="H46" s="166">
        <v>0.12</v>
      </c>
      <c r="I46" s="166">
        <v>0.12</v>
      </c>
      <c r="J46" s="166">
        <v>0.12</v>
      </c>
      <c r="K46" s="166">
        <v>0.12</v>
      </c>
      <c r="L46" s="166">
        <v>0</v>
      </c>
      <c r="M46" s="166" t="s">
        <v>103</v>
      </c>
      <c r="N46" s="166" t="s">
        <v>104</v>
      </c>
    </row>
    <row r="47" spans="1:14" x14ac:dyDescent="0.35">
      <c r="A47" s="166" t="s">
        <v>96</v>
      </c>
      <c r="B47" s="166" t="s">
        <v>294</v>
      </c>
      <c r="C47" s="166" t="s">
        <v>295</v>
      </c>
      <c r="D47" s="166" t="s">
        <v>24</v>
      </c>
      <c r="E47" s="166">
        <v>0.16666666666666666</v>
      </c>
      <c r="F47" s="166">
        <v>0.14312233761666665</v>
      </c>
      <c r="G47" s="166">
        <v>0.12290402114915469</v>
      </c>
      <c r="H47" s="166">
        <v>0.10554186485613154</v>
      </c>
      <c r="I47" s="166">
        <v>9.0632390487791176E-2</v>
      </c>
      <c r="J47" s="166">
        <v>7.7829117542395299E-2</v>
      </c>
      <c r="K47" s="166">
        <v>6.6834511423859599E-2</v>
      </c>
      <c r="L47" s="166">
        <v>-0.03</v>
      </c>
      <c r="M47" s="166"/>
      <c r="N47" s="166" t="s">
        <v>296</v>
      </c>
    </row>
    <row r="48" spans="1:14" x14ac:dyDescent="0.35">
      <c r="A48" s="166" t="s">
        <v>96</v>
      </c>
      <c r="B48" s="166" t="s">
        <v>93</v>
      </c>
      <c r="C48" s="166" t="s">
        <v>122</v>
      </c>
      <c r="D48" s="166" t="s">
        <v>90</v>
      </c>
      <c r="E48" s="166">
        <v>0.7</v>
      </c>
      <c r="F48" s="166">
        <v>0.7</v>
      </c>
      <c r="G48" s="166">
        <v>0.7</v>
      </c>
      <c r="H48" s="166">
        <v>0.7</v>
      </c>
      <c r="I48" s="166">
        <v>0.7</v>
      </c>
      <c r="J48" s="166">
        <v>0.7</v>
      </c>
      <c r="K48" s="166">
        <v>0.7</v>
      </c>
      <c r="L48" s="166">
        <v>0</v>
      </c>
      <c r="M48" s="166" t="s">
        <v>110</v>
      </c>
      <c r="N48" s="166" t="s">
        <v>109</v>
      </c>
    </row>
    <row r="49" spans="1:14" x14ac:dyDescent="0.35">
      <c r="A49" s="166" t="s">
        <v>96</v>
      </c>
      <c r="B49" s="166" t="s">
        <v>93</v>
      </c>
      <c r="C49" s="166" t="s">
        <v>120</v>
      </c>
      <c r="D49" s="166" t="s">
        <v>121</v>
      </c>
      <c r="E49" s="166">
        <v>0.12</v>
      </c>
      <c r="F49" s="166">
        <v>0.16999999999999998</v>
      </c>
      <c r="G49" s="166">
        <v>0.21999999999999997</v>
      </c>
      <c r="H49" s="166">
        <v>0.26999999999999996</v>
      </c>
      <c r="I49" s="166">
        <v>0.31999999999999995</v>
      </c>
      <c r="J49" s="166">
        <v>0.36999999999999994</v>
      </c>
      <c r="K49" s="166">
        <v>0.41999999999999993</v>
      </c>
      <c r="L49" s="166">
        <v>0.05</v>
      </c>
      <c r="M49" s="166"/>
      <c r="N49" s="166" t="s">
        <v>238</v>
      </c>
    </row>
    <row r="50" spans="1:14" x14ac:dyDescent="0.35">
      <c r="A50" s="166" t="s">
        <v>96</v>
      </c>
      <c r="B50" s="166" t="s">
        <v>115</v>
      </c>
      <c r="C50" s="166" t="s">
        <v>118</v>
      </c>
      <c r="D50" s="166" t="s">
        <v>87</v>
      </c>
      <c r="E50" s="166">
        <v>1</v>
      </c>
      <c r="F50" s="166">
        <v>1.1592740742999998</v>
      </c>
      <c r="G50" s="166">
        <v>1.3439163793441218</v>
      </c>
      <c r="H50" s="166">
        <v>1.5579674166007644</v>
      </c>
      <c r="I50" s="166">
        <v>1.8061112346694133</v>
      </c>
      <c r="J50" s="166">
        <v>2.0937779296542138</v>
      </c>
      <c r="K50" s="166">
        <v>2.4272624711896591</v>
      </c>
      <c r="L50" s="166">
        <v>0.03</v>
      </c>
      <c r="M50" s="166" t="s">
        <v>111</v>
      </c>
      <c r="N50" s="166" t="s">
        <v>186</v>
      </c>
    </row>
    <row r="51" spans="1:14" x14ac:dyDescent="0.35">
      <c r="A51" s="166" t="s">
        <v>96</v>
      </c>
      <c r="B51" s="166" t="s">
        <v>115</v>
      </c>
      <c r="C51" s="166" t="s">
        <v>117</v>
      </c>
      <c r="D51" s="166" t="s">
        <v>89</v>
      </c>
      <c r="E51" s="166">
        <v>2.6</v>
      </c>
      <c r="F51" s="166">
        <v>2.11996901376</v>
      </c>
      <c r="G51" s="166">
        <v>1.7285648535779026</v>
      </c>
      <c r="H51" s="166">
        <v>1.4094245876383635</v>
      </c>
      <c r="I51" s="166">
        <v>1.1492063280864599</v>
      </c>
      <c r="J51" s="166">
        <v>0.93703146383084757</v>
      </c>
      <c r="K51" s="166">
        <v>0.76402987239983489</v>
      </c>
      <c r="L51" s="166">
        <v>-0.04</v>
      </c>
      <c r="M51" s="166"/>
      <c r="N51" s="166" t="s">
        <v>186</v>
      </c>
    </row>
    <row r="52" spans="1:14" x14ac:dyDescent="0.35">
      <c r="A52" s="166" t="s">
        <v>96</v>
      </c>
      <c r="B52" s="166" t="s">
        <v>115</v>
      </c>
      <c r="C52" s="166" t="s">
        <v>119</v>
      </c>
      <c r="D52" s="166" t="s">
        <v>87</v>
      </c>
      <c r="E52" s="166">
        <v>0.21839999999999998</v>
      </c>
      <c r="F52" s="166">
        <v>0.25227631263743999</v>
      </c>
      <c r="G52" s="166">
        <v>0.26619898745099696</v>
      </c>
      <c r="H52" s="166">
        <v>0.26638124706365063</v>
      </c>
      <c r="I52" s="166">
        <v>0.25742221749136696</v>
      </c>
      <c r="J52" s="166">
        <v>0.24269114913218948</v>
      </c>
      <c r="K52" s="166">
        <v>0.2246247824855514</v>
      </c>
      <c r="L52" s="166"/>
      <c r="M52" s="166"/>
      <c r="N52" s="166"/>
    </row>
    <row r="53" spans="1:14" x14ac:dyDescent="0.35">
      <c r="A53" s="166" t="s">
        <v>96</v>
      </c>
      <c r="B53" s="166" t="s">
        <v>115</v>
      </c>
      <c r="C53" s="166" t="s">
        <v>113</v>
      </c>
      <c r="D53" s="166" t="s">
        <v>87</v>
      </c>
      <c r="E53" s="166">
        <v>0.251</v>
      </c>
      <c r="F53" s="166">
        <v>0.251</v>
      </c>
      <c r="G53" s="166">
        <v>0.251</v>
      </c>
      <c r="H53" s="166">
        <v>0.251</v>
      </c>
      <c r="I53" s="166">
        <v>0.251</v>
      </c>
      <c r="J53" s="166">
        <v>0.251</v>
      </c>
      <c r="K53" s="166">
        <v>0.251</v>
      </c>
      <c r="L53" s="166">
        <v>0</v>
      </c>
      <c r="M53" s="166" t="s">
        <v>123</v>
      </c>
      <c r="N53" s="166" t="s">
        <v>237</v>
      </c>
    </row>
    <row r="54" spans="1:14" x14ac:dyDescent="0.35">
      <c r="A54" s="166" t="s">
        <v>96</v>
      </c>
      <c r="B54" s="166" t="s">
        <v>116</v>
      </c>
      <c r="C54" s="166" t="s">
        <v>124</v>
      </c>
      <c r="D54" s="166" t="s">
        <v>10</v>
      </c>
      <c r="E54" s="166">
        <v>4.163731764705882</v>
      </c>
      <c r="F54" s="166">
        <v>4.163731764705882</v>
      </c>
      <c r="G54" s="166">
        <v>4.163731764705882</v>
      </c>
      <c r="H54" s="166">
        <v>4.163731764705882</v>
      </c>
      <c r="I54" s="166">
        <v>4.163731764705882</v>
      </c>
      <c r="J54" s="166">
        <v>4.163731764705882</v>
      </c>
      <c r="K54" s="166">
        <v>4.163731764705882</v>
      </c>
      <c r="L54" s="166"/>
      <c r="M54" s="166"/>
      <c r="N54" s="166"/>
    </row>
    <row r="55" spans="1:14" x14ac:dyDescent="0.35">
      <c r="A55" s="166" t="s">
        <v>96</v>
      </c>
      <c r="B55" s="166" t="s">
        <v>116</v>
      </c>
      <c r="C55" s="166" t="s">
        <v>113</v>
      </c>
      <c r="D55" s="166" t="s">
        <v>86</v>
      </c>
      <c r="E55" s="166">
        <v>6.0282461547503205E-2</v>
      </c>
      <c r="F55" s="166">
        <v>6.0282461547503205E-2</v>
      </c>
      <c r="G55" s="166">
        <v>6.0282461547503205E-2</v>
      </c>
      <c r="H55" s="166">
        <v>6.0282461547503205E-2</v>
      </c>
      <c r="I55" s="166">
        <v>6.0282461547503205E-2</v>
      </c>
      <c r="J55" s="166">
        <v>6.0282461547503205E-2</v>
      </c>
      <c r="K55" s="166">
        <v>6.0282461547503205E-2</v>
      </c>
      <c r="L55" s="166"/>
      <c r="M55" s="166"/>
      <c r="N55" s="166"/>
    </row>
    <row r="56" spans="1:14" x14ac:dyDescent="0.35">
      <c r="A56" s="166" t="s">
        <v>245</v>
      </c>
      <c r="B56" s="166" t="s">
        <v>245</v>
      </c>
      <c r="C56" s="166" t="s">
        <v>247</v>
      </c>
      <c r="D56" s="166" t="s">
        <v>86</v>
      </c>
      <c r="E56" s="166">
        <v>3.4458739726027407E-2</v>
      </c>
      <c r="F56" s="166">
        <v>3.6216481765834925E-2</v>
      </c>
      <c r="G56" s="166">
        <v>3.8063886315155906E-2</v>
      </c>
      <c r="H56" s="166">
        <v>4.0005527063092704E-2</v>
      </c>
      <c r="I56" s="166">
        <v>4.2046211002857978E-2</v>
      </c>
      <c r="J56" s="166">
        <v>4.4190990332628952E-2</v>
      </c>
      <c r="K56" s="166">
        <v>4.6445174963464966E-2</v>
      </c>
      <c r="L56" s="166">
        <v>0.01</v>
      </c>
      <c r="M56" s="166" t="s">
        <v>105</v>
      </c>
      <c r="N56" s="166" t="s">
        <v>239</v>
      </c>
    </row>
    <row r="57" spans="1:14" x14ac:dyDescent="0.35">
      <c r="A57" s="166" t="s">
        <v>245</v>
      </c>
      <c r="B57" s="166" t="s">
        <v>245</v>
      </c>
      <c r="C57" s="166" t="s">
        <v>248</v>
      </c>
      <c r="D57" s="166" t="s">
        <v>86</v>
      </c>
      <c r="E57" s="166">
        <v>4.8914219178082224E-2</v>
      </c>
      <c r="F57" s="166">
        <v>5.1409335948958579E-2</v>
      </c>
      <c r="G57" s="166">
        <v>5.40317287513227E-2</v>
      </c>
      <c r="H57" s="166">
        <v>5.6787889941917261E-2</v>
      </c>
      <c r="I57" s="166">
        <v>5.9684643052927762E-2</v>
      </c>
      <c r="J57" s="166">
        <v>6.2729159685258246E-2</v>
      </c>
      <c r="K57" s="166">
        <v>6.5928977263534166E-2</v>
      </c>
      <c r="L57" s="166">
        <v>0.01</v>
      </c>
      <c r="M57" s="166" t="s">
        <v>105</v>
      </c>
      <c r="N57" s="166" t="s">
        <v>239</v>
      </c>
    </row>
    <row r="58" spans="1:14" x14ac:dyDescent="0.35">
      <c r="A58" s="166" t="s">
        <v>245</v>
      </c>
      <c r="B58" s="166" t="s">
        <v>245</v>
      </c>
      <c r="C58" s="166" t="s">
        <v>249</v>
      </c>
      <c r="D58" s="166" t="s">
        <v>91</v>
      </c>
      <c r="E58" s="166">
        <v>0.01</v>
      </c>
      <c r="F58" s="166">
        <v>8.587340257E-3</v>
      </c>
      <c r="G58" s="166">
        <v>7.3742412689492822E-3</v>
      </c>
      <c r="H58" s="166">
        <v>6.3325118913678926E-3</v>
      </c>
      <c r="I58" s="166">
        <v>5.4379434292674712E-3</v>
      </c>
      <c r="J58" s="166">
        <v>4.6697470525437178E-3</v>
      </c>
      <c r="K58" s="166">
        <v>4.0100706854315762E-3</v>
      </c>
      <c r="L58" s="166">
        <v>-0.03</v>
      </c>
      <c r="M58" s="166"/>
      <c r="N58" s="166" t="s">
        <v>246</v>
      </c>
    </row>
    <row r="59" spans="1:14" x14ac:dyDescent="0.35">
      <c r="A59" s="166" t="s">
        <v>245</v>
      </c>
      <c r="B59" s="166" t="s">
        <v>245</v>
      </c>
      <c r="C59" s="166" t="s">
        <v>119</v>
      </c>
      <c r="D59" s="166" t="s">
        <v>86</v>
      </c>
      <c r="E59" s="166">
        <v>8.3999999999999993E-4</v>
      </c>
      <c r="F59" s="166">
        <v>1.0218934905829999E-3</v>
      </c>
      <c r="G59" s="166">
        <v>1.1356331554181892E-3</v>
      </c>
      <c r="H59" s="166">
        <v>1.1968447474685316E-3</v>
      </c>
      <c r="I59" s="166">
        <v>1.2180993281559133E-3</v>
      </c>
      <c r="J59" s="166">
        <v>1.2094644866088226E-3</v>
      </c>
      <c r="K59" s="166">
        <v>1.1789607815168831E-3</v>
      </c>
      <c r="L59" s="166"/>
      <c r="M59" s="166"/>
      <c r="N59" s="166"/>
    </row>
    <row r="60" spans="1:14" x14ac:dyDescent="0.35">
      <c r="A60" s="166" t="s">
        <v>244</v>
      </c>
      <c r="B60" s="166" t="s">
        <v>244</v>
      </c>
      <c r="C60" s="166" t="s">
        <v>247</v>
      </c>
      <c r="D60" s="166" t="s">
        <v>86</v>
      </c>
      <c r="E60" s="166">
        <v>4.3459219178082202E-2</v>
      </c>
      <c r="F60" s="166">
        <v>4.5676076125663052E-2</v>
      </c>
      <c r="G60" s="166">
        <v>4.8006015057204553E-2</v>
      </c>
      <c r="H60" s="166">
        <v>5.0454804290373897E-2</v>
      </c>
      <c r="I60" s="166">
        <v>5.3028506385011574E-2</v>
      </c>
      <c r="J60" s="166">
        <v>5.5733493152439209E-2</v>
      </c>
      <c r="K60" s="166">
        <v>5.8576461430393134E-2</v>
      </c>
      <c r="L60" s="166">
        <v>0.01</v>
      </c>
      <c r="M60" s="166" t="s">
        <v>105</v>
      </c>
      <c r="N60" s="166" t="s">
        <v>239</v>
      </c>
    </row>
    <row r="61" spans="1:14" x14ac:dyDescent="0.35">
      <c r="A61" s="166" t="s">
        <v>244</v>
      </c>
      <c r="B61" s="166" t="s">
        <v>244</v>
      </c>
      <c r="C61" s="166" t="s">
        <v>248</v>
      </c>
      <c r="D61" s="166" t="s">
        <v>86</v>
      </c>
      <c r="E61" s="166">
        <v>9.7833534246575302E-2</v>
      </c>
      <c r="F61" s="166">
        <v>0.10282402772995317</v>
      </c>
      <c r="G61" s="166">
        <v>0.1080690865359419</v>
      </c>
      <c r="H61" s="166">
        <v>0.11358169605440149</v>
      </c>
      <c r="I61" s="166">
        <v>0.11937550406057952</v>
      </c>
      <c r="J61" s="166">
        <v>0.12546485450342248</v>
      </c>
      <c r="K61" s="166">
        <v>0.13186482301743127</v>
      </c>
      <c r="L61" s="166">
        <v>0.01</v>
      </c>
      <c r="M61" s="166" t="s">
        <v>105</v>
      </c>
      <c r="N61" s="166" t="s">
        <v>239</v>
      </c>
    </row>
    <row r="62" spans="1:14" x14ac:dyDescent="0.35">
      <c r="A62" s="166" t="s">
        <v>244</v>
      </c>
      <c r="B62" s="166" t="s">
        <v>244</v>
      </c>
      <c r="C62" s="166" t="s">
        <v>249</v>
      </c>
      <c r="D62" s="166" t="s">
        <v>91</v>
      </c>
      <c r="E62" s="166">
        <v>0.09</v>
      </c>
      <c r="F62" s="166">
        <v>6.9640284375E-2</v>
      </c>
      <c r="G62" s="166">
        <v>5.3886324531454095E-2</v>
      </c>
      <c r="H62" s="166">
        <v>4.1696210714377797E-2</v>
      </c>
      <c r="I62" s="166">
        <v>3.2263733016768791E-2</v>
      </c>
      <c r="J62" s="166">
        <v>2.4965061580965058E-2</v>
      </c>
      <c r="K62" s="166">
        <v>1.9317488754864373E-2</v>
      </c>
      <c r="L62" s="166">
        <v>-0.05</v>
      </c>
      <c r="M62" s="166" t="s">
        <v>229</v>
      </c>
      <c r="N62" s="166" t="s">
        <v>230</v>
      </c>
    </row>
    <row r="63" spans="1:14" x14ac:dyDescent="0.35">
      <c r="A63" s="166" t="s">
        <v>244</v>
      </c>
      <c r="B63" s="166" t="s">
        <v>244</v>
      </c>
      <c r="C63" s="166" t="s">
        <v>119</v>
      </c>
      <c r="D63" s="166" t="s">
        <v>86</v>
      </c>
      <c r="E63" s="166">
        <v>7.559999999999999E-3</v>
      </c>
      <c r="F63" s="166">
        <v>8.2871938406249984E-3</v>
      </c>
      <c r="G63" s="166">
        <v>8.2984939778439296E-3</v>
      </c>
      <c r="H63" s="166">
        <v>7.8805838250174017E-3</v>
      </c>
      <c r="I63" s="166">
        <v>7.2270761957562079E-3</v>
      </c>
      <c r="J63" s="166">
        <v>6.4659509494699487E-3</v>
      </c>
      <c r="K63" s="166">
        <v>5.6793416939301244E-3</v>
      </c>
      <c r="L63" s="166"/>
      <c r="M63" s="166"/>
      <c r="N63" s="166"/>
    </row>
    <row r="64" spans="1:14" x14ac:dyDescent="0.35">
      <c r="A64" s="166" t="s">
        <v>293</v>
      </c>
      <c r="B64" s="166" t="s">
        <v>293</v>
      </c>
      <c r="C64" s="166" t="s">
        <v>247</v>
      </c>
      <c r="D64" s="166" t="s">
        <v>86</v>
      </c>
      <c r="E64" s="166">
        <v>0.06</v>
      </c>
      <c r="F64" s="166">
        <v>6.3060603005999999E-2</v>
      </c>
      <c r="G64" s="166">
        <v>6.6277327524672289E-2</v>
      </c>
      <c r="H64" s="166">
        <v>6.9658137322199901E-2</v>
      </c>
      <c r="I64" s="166">
        <v>7.3211402396878025E-2</v>
      </c>
      <c r="J64" s="166">
        <v>7.6945919701034052E-2</v>
      </c>
      <c r="K64" s="166">
        <v>8.087093491997438E-2</v>
      </c>
      <c r="L64" s="166">
        <v>0.01</v>
      </c>
      <c r="M64" s="166" t="s">
        <v>77</v>
      </c>
      <c r="N64" s="166"/>
    </row>
    <row r="65" spans="1:14" x14ac:dyDescent="0.35">
      <c r="A65" s="166" t="s">
        <v>293</v>
      </c>
      <c r="B65" s="166" t="s">
        <v>293</v>
      </c>
      <c r="C65" s="166" t="s">
        <v>248</v>
      </c>
      <c r="D65" s="166" t="s">
        <v>86</v>
      </c>
      <c r="E65" s="166">
        <v>0.2</v>
      </c>
      <c r="F65" s="166">
        <v>0.21020201002</v>
      </c>
      <c r="G65" s="166">
        <v>0.22092442508224097</v>
      </c>
      <c r="H65" s="166">
        <v>0.23219379107399971</v>
      </c>
      <c r="I65" s="166">
        <v>0.24403800798959341</v>
      </c>
      <c r="J65" s="166">
        <v>0.25648639900344689</v>
      </c>
      <c r="K65" s="166">
        <v>0.26956978306658125</v>
      </c>
      <c r="L65" s="166">
        <v>0.01</v>
      </c>
      <c r="M65" s="166" t="s">
        <v>77</v>
      </c>
      <c r="N65" s="166"/>
    </row>
    <row r="66" spans="1:14" x14ac:dyDescent="0.35">
      <c r="A66" s="166" t="s">
        <v>293</v>
      </c>
      <c r="B66" s="166" t="s">
        <v>293</v>
      </c>
      <c r="C66" s="166" t="s">
        <v>249</v>
      </c>
      <c r="D66" s="166" t="s">
        <v>91</v>
      </c>
      <c r="E66" s="166">
        <v>0.3</v>
      </c>
      <c r="F66" s="166">
        <v>0.23213428124999999</v>
      </c>
      <c r="G66" s="166">
        <v>0.17962108177151367</v>
      </c>
      <c r="H66" s="166">
        <v>0.138987369047926</v>
      </c>
      <c r="I66" s="166">
        <v>0.10754577672256264</v>
      </c>
      <c r="J66" s="166">
        <v>8.3216871936550196E-2</v>
      </c>
      <c r="K66" s="166">
        <v>6.4391629182881244E-2</v>
      </c>
      <c r="L66" s="166">
        <v>-0.05</v>
      </c>
      <c r="M66" s="166" t="s">
        <v>77</v>
      </c>
      <c r="N66" s="166"/>
    </row>
    <row r="67" spans="1:14" x14ac:dyDescent="0.35">
      <c r="A67" s="166" t="s">
        <v>293</v>
      </c>
      <c r="B67" s="166" t="s">
        <v>293</v>
      </c>
      <c r="C67" s="166" t="s">
        <v>119</v>
      </c>
      <c r="D67" s="166" t="s">
        <v>86</v>
      </c>
      <c r="E67" s="166">
        <v>1.6445519999999998E-2</v>
      </c>
      <c r="F67" s="166">
        <v>1.4699057108133597E-2</v>
      </c>
      <c r="G67" s="166">
        <v>1.2001552473199846E-2</v>
      </c>
      <c r="H67" s="166">
        <v>9.2929308019636721E-3</v>
      </c>
      <c r="I67" s="166">
        <v>6.9488527537641311E-3</v>
      </c>
      <c r="J67" s="166">
        <v>5.0691955676443719E-3</v>
      </c>
      <c r="K67" s="166">
        <v>3.6304528804728406E-3</v>
      </c>
      <c r="L67" s="166"/>
      <c r="M67" s="166"/>
      <c r="N67" s="166"/>
    </row>
    <row r="71" spans="1:14" x14ac:dyDescent="0.35">
      <c r="A71" t="s">
        <v>544</v>
      </c>
    </row>
  </sheetData>
  <hyperlinks>
    <hyperlink ref="M2" r:id="rId1" xr:uid="{F672A2DF-84F9-4948-95CA-7B8306445B63}"/>
    <hyperlink ref="M4" r:id="rId2" xr:uid="{783C928B-AB78-4844-B95E-49169A0B2B1C}"/>
    <hyperlink ref="M3" r:id="rId3" xr:uid="{3833C4C6-660D-4338-BAF5-BAC8EDFFDDAE}"/>
    <hyperlink ref="M22" r:id="rId4" xr:uid="{0B5C285B-9FD1-4075-999F-72DED93C9FCD}"/>
    <hyperlink ref="M7" r:id="rId5" xr:uid="{CF0A3E41-72E9-47AF-9A6D-232D42664E9B}"/>
    <hyperlink ref="O13" r:id="rId6" xr:uid="{62F0D0B0-6791-4DB3-8C4C-150E3508F27B}"/>
    <hyperlink ref="M15" r:id="rId7" xr:uid="{885ECAED-34A4-4E26-B10C-F93F90F1AE72}"/>
    <hyperlink ref="M28" r:id="rId8" xr:uid="{EB1E11D4-471C-4DC9-8DD1-505F88C31DD2}"/>
    <hyperlink ref="M23" r:id="rId9" xr:uid="{1CAD2A2A-898C-49A6-B37D-7FB2B60B47D0}"/>
    <hyperlink ref="M26" r:id="rId10" xr:uid="{A72CED87-218F-478C-AB9E-4C02BC0CCB03}"/>
    <hyperlink ref="M27" r:id="rId11" xr:uid="{DCB42447-11B7-4D46-9863-235A50BB3D07}"/>
    <hyperlink ref="M19" r:id="rId12" xr:uid="{0C4C2278-1517-4B08-8EA1-0438DF80B1FF}"/>
    <hyperlink ref="M5" r:id="rId13" xr:uid="{FE7E1A29-9246-4EB5-99A8-243A1560C49D}"/>
    <hyperlink ref="M11" r:id="rId14" xr:uid="{E7CFE5BC-BF16-43F8-918D-139A6E134366}"/>
  </hyperlinks>
  <pageMargins left="0.7" right="0.7" top="0.75" bottom="0.75" header="0.3" footer="0.3"/>
  <pageSetup paperSize="9" orientation="portrait" r:id="rId15"/>
  <drawing r:id="rId16"/>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FA72D-C103-4C3B-9C59-214566A8A8FF}">
  <dimension ref="A1:AG57"/>
  <sheetViews>
    <sheetView workbookViewId="0">
      <selection activeCell="M34" sqref="M34"/>
    </sheetView>
  </sheetViews>
  <sheetFormatPr defaultColWidth="8.81640625" defaultRowHeight="14.5" x14ac:dyDescent="0.35"/>
  <cols>
    <col min="1" max="1" width="27.453125" bestFit="1" customWidth="1"/>
  </cols>
  <sheetData>
    <row r="1" spans="1:30" ht="15.5" x14ac:dyDescent="0.35">
      <c r="A1" s="81" t="s">
        <v>81</v>
      </c>
      <c r="B1" s="81" t="s">
        <v>83</v>
      </c>
      <c r="C1" s="78">
        <v>2020</v>
      </c>
      <c r="D1" s="78">
        <v>2025</v>
      </c>
      <c r="E1" s="78">
        <v>2030</v>
      </c>
      <c r="F1" s="78">
        <v>2035</v>
      </c>
      <c r="G1" s="78">
        <v>2040</v>
      </c>
      <c r="H1" s="78">
        <v>2045</v>
      </c>
      <c r="I1" s="78">
        <v>2050</v>
      </c>
      <c r="J1" t="s">
        <v>0</v>
      </c>
      <c r="K1" t="s">
        <v>76</v>
      </c>
      <c r="W1" s="4" t="s">
        <v>592</v>
      </c>
    </row>
    <row r="2" spans="1:30" x14ac:dyDescent="0.35">
      <c r="A2" s="22" t="s">
        <v>212</v>
      </c>
      <c r="B2" s="22" t="s">
        <v>213</v>
      </c>
      <c r="C2" s="22">
        <v>500</v>
      </c>
      <c r="D2" s="113" cm="1">
        <f t="array" ref="D2:I2">C2*POWER(1+$J2,D$1:I$1-$C$1)</f>
        <v>525.50502504999997</v>
      </c>
      <c r="E2" s="113">
        <v>552.31106270560235</v>
      </c>
      <c r="F2" s="113">
        <v>580.48447768499921</v>
      </c>
      <c r="G2" s="113">
        <v>610.09501997398354</v>
      </c>
      <c r="H2" s="113">
        <v>641.21599750861708</v>
      </c>
      <c r="I2" s="113">
        <v>673.92445766645312</v>
      </c>
      <c r="J2" s="9">
        <v>0.01</v>
      </c>
      <c r="K2" t="s">
        <v>614</v>
      </c>
      <c r="L2" t="s">
        <v>636</v>
      </c>
      <c r="W2" s="4"/>
    </row>
    <row r="3" spans="1:30" x14ac:dyDescent="0.35">
      <c r="A3" s="24" t="s">
        <v>212</v>
      </c>
      <c r="B3" s="24" t="s">
        <v>214</v>
      </c>
      <c r="C3" s="24">
        <v>650</v>
      </c>
      <c r="D3" s="114" cm="1">
        <f t="array" ref="D3:I3">C3*POWER(1+$J3,D$1:I$1-$C$1)</f>
        <v>683.15653256499991</v>
      </c>
      <c r="E3" s="114">
        <v>718.00438151728304</v>
      </c>
      <c r="F3" s="114">
        <v>754.62982099049896</v>
      </c>
      <c r="G3" s="114">
        <v>793.12352596617859</v>
      </c>
      <c r="H3" s="114">
        <v>833.58079676120224</v>
      </c>
      <c r="I3" s="114">
        <v>876.10179496638909</v>
      </c>
      <c r="J3" s="9">
        <v>0.01</v>
      </c>
      <c r="K3" t="s">
        <v>614</v>
      </c>
      <c r="W3" s="4" t="s">
        <v>581</v>
      </c>
      <c r="X3" s="4" t="s">
        <v>579</v>
      </c>
      <c r="Y3" s="4" t="s">
        <v>580</v>
      </c>
      <c r="Z3" s="4" t="s">
        <v>582</v>
      </c>
    </row>
    <row r="4" spans="1:30" x14ac:dyDescent="0.35">
      <c r="A4" s="22" t="s">
        <v>215</v>
      </c>
      <c r="B4" s="22" t="s">
        <v>213</v>
      </c>
      <c r="C4" s="22">
        <v>40000</v>
      </c>
      <c r="D4" s="113" cm="1">
        <f t="array" ref="D4:I4">C4*POWER(1+$J4,D$1:I$1-$C$1)</f>
        <v>36156.831871999995</v>
      </c>
      <c r="E4" s="113">
        <v>32682.912275501862</v>
      </c>
      <c r="F4" s="113">
        <v>29542.764105816143</v>
      </c>
      <c r="G4" s="113">
        <v>26704.318870203766</v>
      </c>
      <c r="H4" s="113">
        <v>24138.589191155857</v>
      </c>
      <c r="I4" s="113">
        <v>21819.372775297466</v>
      </c>
      <c r="J4" s="9">
        <v>-0.02</v>
      </c>
      <c r="K4" t="s">
        <v>614</v>
      </c>
      <c r="X4">
        <v>190</v>
      </c>
      <c r="Y4">
        <v>375</v>
      </c>
      <c r="Z4" s="194">
        <f>Y4-X4</f>
        <v>185</v>
      </c>
    </row>
    <row r="5" spans="1:30" x14ac:dyDescent="0.35">
      <c r="A5" t="s">
        <v>215</v>
      </c>
      <c r="B5" t="s">
        <v>214</v>
      </c>
      <c r="C5">
        <v>190</v>
      </c>
      <c r="D5" s="10" cm="1">
        <f t="array" ref="D5:I5">C5*POWER(1+$J5,D$1:I$1-$C$1)</f>
        <v>171.74495139199996</v>
      </c>
      <c r="E5" s="10">
        <v>155.24383330863384</v>
      </c>
      <c r="F5" s="10">
        <v>140.32812950262667</v>
      </c>
      <c r="G5" s="10">
        <v>126.84551463346789</v>
      </c>
      <c r="H5" s="10">
        <v>114.65829865799031</v>
      </c>
      <c r="I5" s="10">
        <v>103.64202068266297</v>
      </c>
      <c r="J5" s="9">
        <v>-0.02</v>
      </c>
      <c r="K5" t="s">
        <v>614</v>
      </c>
    </row>
    <row r="6" spans="1:30" x14ac:dyDescent="0.35">
      <c r="A6" s="99" t="s">
        <v>216</v>
      </c>
      <c r="B6" s="99" t="s">
        <v>193</v>
      </c>
      <c r="C6" s="100">
        <v>1.48</v>
      </c>
      <c r="D6" s="112" cm="1">
        <f t="array" ref="D6:I6">C6*POWER(1+$J6,D$1:I$1-$C$1)</f>
        <v>1.48</v>
      </c>
      <c r="E6" s="112">
        <v>1.48</v>
      </c>
      <c r="F6" s="112">
        <v>1.48</v>
      </c>
      <c r="G6" s="112">
        <v>1.48</v>
      </c>
      <c r="H6" s="112">
        <v>1.48</v>
      </c>
      <c r="I6" s="112">
        <v>1.48</v>
      </c>
      <c r="J6" s="9">
        <v>0</v>
      </c>
      <c r="K6" t="s">
        <v>614</v>
      </c>
      <c r="W6" s="4" t="s">
        <v>583</v>
      </c>
      <c r="X6" s="4" t="s">
        <v>579</v>
      </c>
      <c r="Y6" s="4" t="s">
        <v>580</v>
      </c>
      <c r="Z6" s="4" t="s">
        <v>582</v>
      </c>
      <c r="AA6" s="4" t="s">
        <v>218</v>
      </c>
      <c r="AB6" s="4" t="s">
        <v>570</v>
      </c>
    </row>
    <row r="7" spans="1:30" x14ac:dyDescent="0.35">
      <c r="A7" s="18" t="s">
        <v>217</v>
      </c>
      <c r="B7" s="18" t="s">
        <v>218</v>
      </c>
      <c r="C7" s="18">
        <v>8.0299999999999994</v>
      </c>
      <c r="D7" s="30" cm="1">
        <f t="array" ref="D7:I7">C7*POWER(1+$J7,D$1:I$1-$C$1)</f>
        <v>8.0299999999999994</v>
      </c>
      <c r="E7" s="30">
        <v>8.0299999999999994</v>
      </c>
      <c r="F7" s="30">
        <v>8.0299999999999994</v>
      </c>
      <c r="G7" s="30">
        <v>8.0299999999999994</v>
      </c>
      <c r="H7" s="30">
        <v>8.0299999999999994</v>
      </c>
      <c r="I7" s="30">
        <v>8.0299999999999994</v>
      </c>
      <c r="J7" s="9">
        <v>0</v>
      </c>
      <c r="K7" t="s">
        <v>614</v>
      </c>
      <c r="W7" t="s">
        <v>571</v>
      </c>
      <c r="X7">
        <v>1000</v>
      </c>
      <c r="Y7">
        <v>1300</v>
      </c>
      <c r="Z7" s="194" cm="1">
        <f t="array" ref="Z7:Z13">Y7:Y13-X7:X13</f>
        <v>300</v>
      </c>
      <c r="AA7" s="195" cm="1">
        <f t="array" ref="AA7:AA13">_xlfn.ANCHORARRAY(Z7)/Z4</f>
        <v>1.6216216216216217</v>
      </c>
      <c r="AB7" s="196" cm="1">
        <f t="array" ref="AB7:AB13">X7:X13-_xlfn.ANCHORARRAY(AA7)*X4</f>
        <v>691.89189189189187</v>
      </c>
    </row>
    <row r="8" spans="1:30" x14ac:dyDescent="0.35">
      <c r="A8" s="18" t="s">
        <v>219</v>
      </c>
      <c r="B8" s="18" t="s">
        <v>218</v>
      </c>
      <c r="C8" s="18">
        <v>1.07</v>
      </c>
      <c r="D8" s="30" cm="1">
        <f t="array" ref="D8:I8">C8*POWER(1+$J8,D$1:I$1-$C$1)</f>
        <v>1.07</v>
      </c>
      <c r="E8" s="30">
        <v>1.07</v>
      </c>
      <c r="F8" s="30">
        <v>1.07</v>
      </c>
      <c r="G8" s="30">
        <v>1.07</v>
      </c>
      <c r="H8" s="30">
        <v>1.07</v>
      </c>
      <c r="I8" s="30">
        <v>1.07</v>
      </c>
      <c r="J8" s="9">
        <v>0</v>
      </c>
      <c r="K8" t="s">
        <v>614</v>
      </c>
      <c r="W8" t="s">
        <v>566</v>
      </c>
      <c r="X8">
        <v>300</v>
      </c>
      <c r="Y8">
        <v>400</v>
      </c>
      <c r="Z8" s="194">
        <v>100</v>
      </c>
      <c r="AA8" s="195">
        <v>0.54054054054054057</v>
      </c>
      <c r="AB8" s="196">
        <v>197.29729729729729</v>
      </c>
      <c r="AD8" s="4"/>
    </row>
    <row r="9" spans="1:30" x14ac:dyDescent="0.35">
      <c r="A9" s="18" t="s">
        <v>375</v>
      </c>
      <c r="B9" s="18" t="s">
        <v>377</v>
      </c>
      <c r="C9" s="92">
        <f>3/550</f>
        <v>5.454545454545455E-3</v>
      </c>
      <c r="D9" s="101" cm="1">
        <f t="array" ref="D9:I9">C9*POWER(1+$J9,D$1:I$1-$C$1)</f>
        <v>5.454545454545455E-3</v>
      </c>
      <c r="E9" s="101">
        <v>5.454545454545455E-3</v>
      </c>
      <c r="F9" s="101">
        <v>5.454545454545455E-3</v>
      </c>
      <c r="G9" s="101">
        <v>5.454545454545455E-3</v>
      </c>
      <c r="H9" s="101">
        <v>5.454545454545455E-3</v>
      </c>
      <c r="I9" s="101">
        <v>5.454545454545455E-3</v>
      </c>
      <c r="J9" s="9">
        <v>0</v>
      </c>
      <c r="K9" t="s">
        <v>614</v>
      </c>
      <c r="W9" t="s">
        <v>572</v>
      </c>
      <c r="X9">
        <v>800</v>
      </c>
      <c r="Y9">
        <v>1500</v>
      </c>
      <c r="Z9" s="194">
        <v>700</v>
      </c>
      <c r="AA9" s="195">
        <v>3.7837837837837838</v>
      </c>
      <c r="AB9" s="196">
        <v>81.081081081081038</v>
      </c>
      <c r="AD9" s="84"/>
    </row>
    <row r="10" spans="1:30" x14ac:dyDescent="0.35">
      <c r="A10" s="18" t="s">
        <v>376</v>
      </c>
      <c r="B10" s="18" t="s">
        <v>377</v>
      </c>
      <c r="C10" s="101">
        <f>C9*0.5</f>
        <v>2.7272727272727275E-3</v>
      </c>
      <c r="D10" s="101" cm="1">
        <f t="array" ref="D10:I10">C10*POWER(1+$J10,D$1:I$1-$C$1)</f>
        <v>2.7272727272727275E-3</v>
      </c>
      <c r="E10" s="101">
        <v>2.7272727272727275E-3</v>
      </c>
      <c r="F10" s="101">
        <v>2.7272727272727275E-3</v>
      </c>
      <c r="G10" s="101">
        <v>2.7272727272727275E-3</v>
      </c>
      <c r="H10" s="101">
        <v>2.7272727272727275E-3</v>
      </c>
      <c r="I10" s="101">
        <v>2.7272727272727275E-3</v>
      </c>
      <c r="J10" s="9">
        <v>0</v>
      </c>
      <c r="W10" t="s">
        <v>565</v>
      </c>
      <c r="X10">
        <v>100</v>
      </c>
      <c r="Y10">
        <v>150</v>
      </c>
      <c r="Z10" s="194">
        <v>50</v>
      </c>
      <c r="AA10" s="195">
        <v>0.27027027027027029</v>
      </c>
      <c r="AB10" s="196">
        <v>48.648648648648646</v>
      </c>
      <c r="AD10" s="84"/>
    </row>
    <row r="11" spans="1:30" x14ac:dyDescent="0.35">
      <c r="A11" s="18"/>
      <c r="B11" s="18"/>
      <c r="C11" s="18"/>
      <c r="D11" s="21"/>
      <c r="E11" s="21"/>
      <c r="F11" s="21"/>
      <c r="G11" s="21"/>
      <c r="H11" s="21"/>
      <c r="I11" s="21"/>
      <c r="J11" s="9"/>
      <c r="W11" t="s">
        <v>573</v>
      </c>
      <c r="X11">
        <v>50</v>
      </c>
      <c r="Y11">
        <v>75</v>
      </c>
      <c r="Z11" s="194">
        <v>25</v>
      </c>
      <c r="AA11" s="195">
        <v>0.13513513513513514</v>
      </c>
      <c r="AB11" s="196">
        <v>24.324324324324323</v>
      </c>
      <c r="AD11" s="84"/>
    </row>
    <row r="12" spans="1:30" x14ac:dyDescent="0.35">
      <c r="A12" t="s">
        <v>224</v>
      </c>
      <c r="W12" t="s">
        <v>567</v>
      </c>
      <c r="X12">
        <v>50</v>
      </c>
      <c r="Y12">
        <v>75</v>
      </c>
      <c r="Z12" s="194">
        <v>25</v>
      </c>
      <c r="AA12" s="195">
        <v>0.13513513513513514</v>
      </c>
      <c r="AB12" s="196">
        <v>24.324324324324323</v>
      </c>
      <c r="AD12" s="84"/>
    </row>
    <row r="13" spans="1:30" x14ac:dyDescent="0.35">
      <c r="A13" s="18" t="s">
        <v>341</v>
      </c>
      <c r="B13" s="18" t="s">
        <v>37</v>
      </c>
      <c r="C13" cm="1">
        <f t="array" ref="C13:I13">C1:I1</f>
        <v>2020</v>
      </c>
      <c r="D13">
        <v>2025</v>
      </c>
      <c r="E13">
        <v>2030</v>
      </c>
      <c r="F13">
        <v>2035</v>
      </c>
      <c r="G13">
        <v>2040</v>
      </c>
      <c r="H13">
        <v>2045</v>
      </c>
      <c r="I13">
        <v>2050</v>
      </c>
      <c r="W13" s="4" t="s">
        <v>569</v>
      </c>
      <c r="X13" s="197">
        <f>SUM(X7:X12)</f>
        <v>2300</v>
      </c>
      <c r="Y13" s="197">
        <f>SUM(Y7:Y12)</f>
        <v>3500</v>
      </c>
      <c r="Z13" s="197">
        <v>1200</v>
      </c>
      <c r="AA13" s="198">
        <v>6.4864864864864868</v>
      </c>
      <c r="AB13" s="196">
        <v>1067.5675675675675</v>
      </c>
    </row>
    <row r="14" spans="1:30" x14ac:dyDescent="0.35">
      <c r="A14" t="s">
        <v>17</v>
      </c>
      <c r="B14" s="27">
        <v>750</v>
      </c>
      <c r="C14" s="38" cm="1">
        <f t="array" ref="C14:I17">(C4:I4-C2:I2+B14:B17*(C5:I5-C3:I3))*C6:I6</f>
        <v>-452140</v>
      </c>
      <c r="D14" s="38">
        <v>-514932.49136854394</v>
      </c>
      <c r="E14" s="38">
        <v>-577110.91871666221</v>
      </c>
      <c r="F14" s="38">
        <v>-639010.70370190416</v>
      </c>
      <c r="G14" s="38">
        <v>-700949.14128096867</v>
      </c>
      <c r="H14" s="64">
        <v>-763227.86056796717</v>
      </c>
      <c r="I14" s="64">
        <v>-826135.08594484197</v>
      </c>
      <c r="AA14" s="68"/>
      <c r="AB14" s="84"/>
    </row>
    <row r="15" spans="1:30" x14ac:dyDescent="0.35">
      <c r="A15" t="s">
        <v>18</v>
      </c>
      <c r="B15" s="27">
        <v>550</v>
      </c>
      <c r="C15" s="38">
        <v>-315980</v>
      </c>
      <c r="D15" s="38">
        <v>-363554.66334133595</v>
      </c>
      <c r="E15" s="38">
        <v>-410533.79644690198</v>
      </c>
      <c r="F15" s="38">
        <v>-457177.40302149398</v>
      </c>
      <c r="G15" s="38">
        <v>-503730.84992648632</v>
      </c>
      <c r="H15" s="64">
        <v>-550426.80112941645</v>
      </c>
      <c r="I15" s="64">
        <v>-597486.99275685917</v>
      </c>
      <c r="AA15" s="68"/>
      <c r="AB15" s="84"/>
    </row>
    <row r="16" spans="1:30" x14ac:dyDescent="0.35">
      <c r="A16" t="s">
        <v>19</v>
      </c>
      <c r="B16" s="27">
        <v>300</v>
      </c>
      <c r="C16" s="38">
        <v>-145780</v>
      </c>
      <c r="D16" s="38">
        <v>-174332.378307326</v>
      </c>
      <c r="E16" s="38">
        <v>-202312.39360970177</v>
      </c>
      <c r="F16" s="38">
        <v>-229885.77717098119</v>
      </c>
      <c r="G16" s="38">
        <v>-257207.98573338345</v>
      </c>
      <c r="H16" s="64">
        <v>-284425.47683122812</v>
      </c>
      <c r="I16" s="64">
        <v>-311676.87627188052</v>
      </c>
      <c r="W16" s="4" t="s">
        <v>584</v>
      </c>
      <c r="X16" s="4" t="s">
        <v>579</v>
      </c>
      <c r="Y16" s="4" t="s">
        <v>580</v>
      </c>
      <c r="Z16" s="4" t="s">
        <v>582</v>
      </c>
      <c r="AA16" s="4" t="s">
        <v>218</v>
      </c>
      <c r="AB16" s="4" t="s">
        <v>570</v>
      </c>
    </row>
    <row r="17" spans="1:33" x14ac:dyDescent="0.35">
      <c r="A17" t="s">
        <v>20</v>
      </c>
      <c r="B17" s="27">
        <v>160</v>
      </c>
      <c r="C17" s="38">
        <v>-50468</v>
      </c>
      <c r="D17" s="38">
        <v>-68367.898688280387</v>
      </c>
      <c r="E17" s="38">
        <v>-85708.408020869669</v>
      </c>
      <c r="F17" s="38">
        <v>-102602.46669469406</v>
      </c>
      <c r="G17" s="38">
        <v>-119155.1817852458</v>
      </c>
      <c r="H17" s="64">
        <v>-135464.73522424264</v>
      </c>
      <c r="I17" s="64">
        <v>-151623.21104029243</v>
      </c>
      <c r="W17" t="s">
        <v>574</v>
      </c>
      <c r="X17">
        <v>300</v>
      </c>
      <c r="Y17">
        <v>400</v>
      </c>
      <c r="Z17" s="194" cm="1">
        <f t="array" ref="Z17:Z23">Y17:Y23-X17:X23</f>
        <v>100</v>
      </c>
      <c r="AA17" s="195" cm="1">
        <f t="array" ref="AA17:AA23">_xlfn.ANCHORARRAY(Z17)/Z4</f>
        <v>0.54054054054054057</v>
      </c>
      <c r="AB17" s="196" cm="1">
        <f t="array" ref="AB17:AB23">X17:X23-_xlfn.ANCHORARRAY(AA17)*X4</f>
        <v>197.29729729729729</v>
      </c>
    </row>
    <row r="18" spans="1:33" x14ac:dyDescent="0.35">
      <c r="B18" s="27"/>
      <c r="C18" s="23"/>
      <c r="D18" s="23"/>
      <c r="E18" s="23"/>
      <c r="F18" s="23"/>
      <c r="G18" s="23"/>
      <c r="W18" t="s">
        <v>568</v>
      </c>
      <c r="X18">
        <v>100</v>
      </c>
      <c r="Y18">
        <v>150</v>
      </c>
      <c r="Z18" s="194">
        <v>50</v>
      </c>
      <c r="AA18" s="195">
        <v>0.27027027027027029</v>
      </c>
      <c r="AB18" s="196">
        <v>48.648648648648646</v>
      </c>
    </row>
    <row r="19" spans="1:33" x14ac:dyDescent="0.35">
      <c r="A19" t="s">
        <v>225</v>
      </c>
      <c r="L19" t="s">
        <v>637</v>
      </c>
      <c r="W19" t="s">
        <v>575</v>
      </c>
      <c r="X19">
        <v>10</v>
      </c>
      <c r="Y19">
        <v>10</v>
      </c>
      <c r="Z19" s="194">
        <v>0</v>
      </c>
      <c r="AA19" s="195">
        <v>0</v>
      </c>
      <c r="AB19" s="196">
        <v>10</v>
      </c>
    </row>
    <row r="20" spans="1:33" x14ac:dyDescent="0.35">
      <c r="A20" t="str" cm="1">
        <f t="array" ref="A20:I20">A13:I13</f>
        <v>vehicle class</v>
      </c>
      <c r="B20" t="str">
        <v>kW</v>
      </c>
      <c r="C20">
        <v>2020</v>
      </c>
      <c r="D20">
        <v>2025</v>
      </c>
      <c r="E20">
        <v>2030</v>
      </c>
      <c r="F20">
        <v>2035</v>
      </c>
      <c r="G20">
        <v>2040</v>
      </c>
      <c r="H20">
        <v>2045</v>
      </c>
      <c r="I20">
        <v>2050</v>
      </c>
      <c r="L20" s="115">
        <v>9.6000000000000002E-2</v>
      </c>
      <c r="W20" t="s">
        <v>576</v>
      </c>
      <c r="X20">
        <v>100</v>
      </c>
      <c r="Y20">
        <v>150</v>
      </c>
      <c r="Z20" s="194">
        <v>50</v>
      </c>
      <c r="AA20" s="195">
        <v>0.27027027027027029</v>
      </c>
      <c r="AB20" s="196">
        <v>48.648648648648646</v>
      </c>
    </row>
    <row r="21" spans="1:33" x14ac:dyDescent="0.35">
      <c r="A21" t="str" cm="1">
        <f t="array" ref="A21:B24">A14:B17</f>
        <v>HGV60</v>
      </c>
      <c r="B21" s="64">
        <v>750</v>
      </c>
      <c r="C21" s="10" cm="1">
        <f t="array" ref="C21:I24">L20*_xlfn.ANCHORARRAY(C14)</f>
        <v>-43405.440000000002</v>
      </c>
      <c r="D21" s="10">
        <v>-49433.51917138022</v>
      </c>
      <c r="E21" s="10">
        <v>-55402.648196799571</v>
      </c>
      <c r="F21" s="10">
        <v>-61345.027555382803</v>
      </c>
      <c r="G21" s="10">
        <v>-67291.117562972999</v>
      </c>
      <c r="H21" s="10">
        <v>-73269.874614524844</v>
      </c>
      <c r="I21" s="10">
        <v>-79308.968250704827</v>
      </c>
      <c r="W21" t="s">
        <v>577</v>
      </c>
      <c r="X21">
        <v>50</v>
      </c>
      <c r="Y21">
        <v>75</v>
      </c>
      <c r="Z21" s="194">
        <v>25</v>
      </c>
      <c r="AA21" s="195">
        <v>0.13513513513513514</v>
      </c>
      <c r="AB21" s="196">
        <v>24.324324324324323</v>
      </c>
    </row>
    <row r="22" spans="1:33" x14ac:dyDescent="0.35">
      <c r="A22" t="str">
        <v>HGV40</v>
      </c>
      <c r="B22" s="64">
        <v>550</v>
      </c>
      <c r="C22" s="10">
        <v>-30334.080000000002</v>
      </c>
      <c r="D22" s="10">
        <v>-34901.247680768254</v>
      </c>
      <c r="E22" s="10">
        <v>-39411.244458902591</v>
      </c>
      <c r="F22" s="10">
        <v>-43889.030690063424</v>
      </c>
      <c r="G22" s="10">
        <v>-48358.161592942684</v>
      </c>
      <c r="H22" s="10">
        <v>-52840.972908423981</v>
      </c>
      <c r="I22" s="10">
        <v>-57358.751304658479</v>
      </c>
      <c r="W22" t="s">
        <v>578</v>
      </c>
      <c r="X22">
        <v>75</v>
      </c>
      <c r="Y22">
        <v>100</v>
      </c>
      <c r="Z22" s="194">
        <v>25</v>
      </c>
      <c r="AA22" s="195">
        <v>0.13513513513513514</v>
      </c>
      <c r="AB22" s="196">
        <v>49.324324324324323</v>
      </c>
    </row>
    <row r="23" spans="1:33" x14ac:dyDescent="0.35">
      <c r="A23" t="str">
        <v>MGV24</v>
      </c>
      <c r="B23" s="64">
        <v>300</v>
      </c>
      <c r="C23" s="10">
        <v>-13994.880000000001</v>
      </c>
      <c r="D23" s="10">
        <v>-16735.908317503297</v>
      </c>
      <c r="E23" s="10">
        <v>-19421.989786531369</v>
      </c>
      <c r="F23" s="10">
        <v>-22069.034608414197</v>
      </c>
      <c r="G23" s="10">
        <v>-24691.966630404811</v>
      </c>
      <c r="H23" s="10">
        <v>-27304.845775797901</v>
      </c>
      <c r="I23" s="10">
        <v>-29920.980122100529</v>
      </c>
      <c r="W23" s="4" t="s">
        <v>569</v>
      </c>
      <c r="X23" s="197">
        <f>SUM(X17:X22)</f>
        <v>635</v>
      </c>
      <c r="Y23" s="197">
        <f>SUM(Y17:Y22)</f>
        <v>885</v>
      </c>
      <c r="Z23" s="197">
        <v>250</v>
      </c>
      <c r="AA23" s="198">
        <v>1.3513513513513513</v>
      </c>
      <c r="AB23" s="196">
        <v>378.24324324324323</v>
      </c>
    </row>
    <row r="24" spans="1:33" x14ac:dyDescent="0.35">
      <c r="A24" t="str">
        <v>MGV16</v>
      </c>
      <c r="B24" s="64">
        <v>160</v>
      </c>
      <c r="C24" s="10">
        <v>-4844.9279999999999</v>
      </c>
      <c r="D24" s="10">
        <v>-6563.3182740749171</v>
      </c>
      <c r="E24" s="10">
        <v>-8228.0071700034878</v>
      </c>
      <c r="F24" s="10">
        <v>-9849.8368026906301</v>
      </c>
      <c r="G24" s="10">
        <v>-11438.897451383598</v>
      </c>
      <c r="H24" s="10">
        <v>-13004.614581527294</v>
      </c>
      <c r="I24" s="10">
        <v>-14555.828259868074</v>
      </c>
    </row>
    <row r="25" spans="1:33" x14ac:dyDescent="0.35">
      <c r="C25" s="84"/>
      <c r="D25" s="84"/>
      <c r="E25" s="84"/>
      <c r="F25" s="84"/>
      <c r="G25" s="84"/>
      <c r="H25" s="84"/>
      <c r="I25" s="84"/>
      <c r="W25" s="4"/>
    </row>
    <row r="26" spans="1:33" x14ac:dyDescent="0.35">
      <c r="A26" t="s">
        <v>232</v>
      </c>
      <c r="W26" s="4" t="s">
        <v>586</v>
      </c>
    </row>
    <row r="27" spans="1:33" x14ac:dyDescent="0.35">
      <c r="A27" t="str" cm="1">
        <f t="array" ref="A27:I27">A13:I13</f>
        <v>vehicle class</v>
      </c>
      <c r="B27" t="str">
        <v>kW</v>
      </c>
      <c r="C27">
        <v>2020</v>
      </c>
      <c r="D27">
        <v>2025</v>
      </c>
      <c r="E27">
        <v>2030</v>
      </c>
      <c r="F27">
        <v>2035</v>
      </c>
      <c r="G27">
        <v>2040</v>
      </c>
      <c r="H27">
        <v>2045</v>
      </c>
      <c r="I27">
        <v>2050</v>
      </c>
      <c r="W27" s="4" t="s">
        <v>37</v>
      </c>
      <c r="X27" s="4" t="s">
        <v>115</v>
      </c>
      <c r="Y27" s="4" t="s">
        <v>30</v>
      </c>
      <c r="Z27" s="4" t="s">
        <v>591</v>
      </c>
    </row>
    <row r="28" spans="1:33" ht="14.5" customHeight="1" x14ac:dyDescent="0.35">
      <c r="A28" t="str" cm="1">
        <f t="array" ref="A28:B31">_xlfn.ANCHORARRAY(A21)</f>
        <v>HGV60</v>
      </c>
      <c r="B28" s="64">
        <v>750</v>
      </c>
      <c r="C28" s="10" cm="1">
        <f t="array" ref="C28:I31">B28:B31*(C8:I8-C7:I7)</f>
        <v>-5219.9999999999991</v>
      </c>
      <c r="D28" s="10">
        <v>-5219.9999999999991</v>
      </c>
      <c r="E28" s="10">
        <v>-5219.9999999999991</v>
      </c>
      <c r="F28" s="10">
        <v>-5219.9999999999991</v>
      </c>
      <c r="G28" s="10">
        <v>-5219.9999999999991</v>
      </c>
      <c r="H28" s="10">
        <v>-5219.9999999999991</v>
      </c>
      <c r="I28" s="10">
        <v>-5219.9999999999991</v>
      </c>
      <c r="W28" s="23" cm="1">
        <f t="array" ref="W28:W31">B14:B17</f>
        <v>750</v>
      </c>
      <c r="X28" s="84" cm="1">
        <f t="array" ref="X28:X31">_xlfn.ANCHORARRAY(W28)*AA13+AB13</f>
        <v>5932.4324324324325</v>
      </c>
      <c r="Y28" s="84" cm="1">
        <f t="array" ref="Y28:Y31">_xlfn.ANCHORARRAY(W28)*AA23+AB23</f>
        <v>1391.7567567567567</v>
      </c>
      <c r="Z28" s="84" cm="1">
        <f t="array" ref="Z28:Z31">_xlfn.ANCHORARRAY(Y28)-_xlfn.ANCHORARRAY(X28)</f>
        <v>-4540.6756756756758</v>
      </c>
      <c r="AB28" s="249" t="s">
        <v>587</v>
      </c>
      <c r="AC28" s="249"/>
      <c r="AD28" s="249"/>
      <c r="AE28" s="249"/>
      <c r="AF28" s="249"/>
      <c r="AG28" s="249"/>
    </row>
    <row r="29" spans="1:33" x14ac:dyDescent="0.35">
      <c r="A29" t="str">
        <v>HGV40</v>
      </c>
      <c r="B29" s="64">
        <v>550</v>
      </c>
      <c r="C29" s="10">
        <v>-3827.9999999999995</v>
      </c>
      <c r="D29" s="10">
        <v>-3827.9999999999995</v>
      </c>
      <c r="E29" s="10">
        <v>-3827.9999999999995</v>
      </c>
      <c r="F29" s="10">
        <v>-3827.9999999999995</v>
      </c>
      <c r="G29" s="10">
        <v>-3827.9999999999995</v>
      </c>
      <c r="H29" s="10">
        <v>-3827.9999999999995</v>
      </c>
      <c r="I29" s="10">
        <v>-3827.9999999999995</v>
      </c>
      <c r="W29">
        <v>550</v>
      </c>
      <c r="X29" s="84">
        <v>4635.135135135135</v>
      </c>
      <c r="Y29" s="84">
        <v>1121.4864864864865</v>
      </c>
      <c r="Z29" s="84">
        <v>-3513.6486486486483</v>
      </c>
      <c r="AB29" s="249"/>
      <c r="AC29" s="249"/>
      <c r="AD29" s="249"/>
      <c r="AE29" s="249"/>
      <c r="AF29" s="249"/>
      <c r="AG29" s="249"/>
    </row>
    <row r="30" spans="1:33" x14ac:dyDescent="0.35">
      <c r="A30" t="str">
        <v>MGV24</v>
      </c>
      <c r="B30" s="64">
        <v>300</v>
      </c>
      <c r="C30" s="10">
        <v>-2087.9999999999995</v>
      </c>
      <c r="D30" s="10">
        <v>-2087.9999999999995</v>
      </c>
      <c r="E30" s="10">
        <v>-2087.9999999999995</v>
      </c>
      <c r="F30" s="10">
        <v>-2087.9999999999995</v>
      </c>
      <c r="G30" s="10">
        <v>-2087.9999999999995</v>
      </c>
      <c r="H30" s="10">
        <v>-2087.9999999999995</v>
      </c>
      <c r="I30" s="10">
        <v>-2087.9999999999995</v>
      </c>
      <c r="W30">
        <v>300</v>
      </c>
      <c r="X30" s="84">
        <v>3013.5135135135133</v>
      </c>
      <c r="Y30" s="84">
        <v>783.64864864864865</v>
      </c>
      <c r="Z30" s="84">
        <v>-2229.8648648648646</v>
      </c>
      <c r="AB30" s="249"/>
      <c r="AC30" s="249"/>
      <c r="AD30" s="249"/>
      <c r="AE30" s="249"/>
      <c r="AF30" s="249"/>
      <c r="AG30" s="249"/>
    </row>
    <row r="31" spans="1:33" x14ac:dyDescent="0.35">
      <c r="A31" t="str">
        <v>MGV16</v>
      </c>
      <c r="B31" s="64">
        <v>160</v>
      </c>
      <c r="C31" s="10">
        <v>-1113.5999999999999</v>
      </c>
      <c r="D31" s="10">
        <v>-1113.5999999999999</v>
      </c>
      <c r="E31" s="10">
        <v>-1113.5999999999999</v>
      </c>
      <c r="F31" s="10">
        <v>-1113.5999999999999</v>
      </c>
      <c r="G31" s="10">
        <v>-1113.5999999999999</v>
      </c>
      <c r="H31" s="10">
        <v>-1113.5999999999999</v>
      </c>
      <c r="I31" s="10">
        <v>-1113.5999999999999</v>
      </c>
      <c r="W31">
        <v>160</v>
      </c>
      <c r="X31" s="84">
        <v>2105.4054054054054</v>
      </c>
      <c r="Y31" s="84">
        <v>594.45945945945937</v>
      </c>
      <c r="Z31" s="84">
        <v>-1510.9459459459461</v>
      </c>
    </row>
    <row r="32" spans="1:33" x14ac:dyDescent="0.35">
      <c r="C32" s="84"/>
      <c r="D32" s="84"/>
      <c r="E32" s="84"/>
      <c r="F32" s="84"/>
      <c r="G32" s="84"/>
      <c r="H32" s="84"/>
      <c r="I32" s="84"/>
    </row>
    <row r="33" spans="1:30" x14ac:dyDescent="0.35">
      <c r="A33" t="s">
        <v>233</v>
      </c>
      <c r="W33" s="4" t="s">
        <v>585</v>
      </c>
      <c r="X33" s="68" cm="1">
        <f t="array" ref="X33:AD33">1/batteries!E21:K21</f>
        <v>7.6923076923076916</v>
      </c>
      <c r="Y33" s="68">
        <v>5.2279320265706914</v>
      </c>
      <c r="Z33" s="68">
        <v>4.0772269309409603</v>
      </c>
      <c r="AA33" s="68">
        <v>3.3561409014207468</v>
      </c>
      <c r="AB33" s="68">
        <v>2.830291395201713</v>
      </c>
      <c r="AC33" s="68">
        <v>2.4144357371837462</v>
      </c>
      <c r="AD33" s="68">
        <v>2.071261006207231</v>
      </c>
    </row>
    <row r="34" spans="1:30" x14ac:dyDescent="0.35">
      <c r="A34" t="str" cm="1">
        <f t="array" ref="A34:I34">A13:I13</f>
        <v>vehicle class</v>
      </c>
      <c r="B34" t="str">
        <v>kW</v>
      </c>
      <c r="C34">
        <v>2020</v>
      </c>
      <c r="D34">
        <v>2025</v>
      </c>
      <c r="E34">
        <v>2030</v>
      </c>
      <c r="F34">
        <v>2035</v>
      </c>
      <c r="G34">
        <v>2040</v>
      </c>
      <c r="H34">
        <v>2045</v>
      </c>
      <c r="I34">
        <v>2050</v>
      </c>
      <c r="W34" s="4">
        <v>1000</v>
      </c>
      <c r="X34" s="84" cm="1">
        <f t="array" ref="X34:AD37">W34:W37*_xlfn.ANCHORARRAY(X33)</f>
        <v>7692.3076923076915</v>
      </c>
      <c r="Y34" s="84">
        <v>5227.9320265706911</v>
      </c>
      <c r="Z34" s="84">
        <v>4077.2269309409603</v>
      </c>
      <c r="AA34" s="84">
        <v>3356.140901420747</v>
      </c>
      <c r="AB34" s="84">
        <v>2830.2913952017129</v>
      </c>
      <c r="AC34" s="84">
        <v>2414.4357371837464</v>
      </c>
      <c r="AD34" s="84">
        <v>2071.2610062072308</v>
      </c>
    </row>
    <row r="35" spans="1:30" x14ac:dyDescent="0.35">
      <c r="A35" t="str" cm="1">
        <f t="array" ref="A35:A38">A28:A31</f>
        <v>HGV60</v>
      </c>
      <c r="B35" s="64" cm="1">
        <f t="array" ref="B35:B38">B28:B31</f>
        <v>750</v>
      </c>
      <c r="C35" s="10" cm="1">
        <f t="array" ref="C35:I35">(B35*(C$3:I$3-C$3)+C$2:I$2-C$2)*C$6:I$6*L$20</f>
        <v>0</v>
      </c>
      <c r="D35" s="10">
        <v>3536.7838640854934</v>
      </c>
      <c r="E35" s="10">
        <v>7253.9792502708924</v>
      </c>
      <c r="F35" s="10">
        <v>11160.788959337053</v>
      </c>
      <c r="G35" s="10">
        <v>15266.885227393896</v>
      </c>
      <c r="H35" s="10">
        <v>19582.433671799732</v>
      </c>
      <c r="I35" s="10">
        <v>24118.118458563669</v>
      </c>
      <c r="W35" s="4">
        <v>750</v>
      </c>
      <c r="X35" s="84">
        <v>5769.2307692307686</v>
      </c>
      <c r="Y35" s="84">
        <v>3920.9490199280185</v>
      </c>
      <c r="Z35" s="84">
        <v>3057.9201982057202</v>
      </c>
      <c r="AA35" s="84">
        <v>2517.1056760655601</v>
      </c>
      <c r="AB35" s="84">
        <v>2122.7185464012846</v>
      </c>
      <c r="AC35" s="84">
        <v>1810.8268028878097</v>
      </c>
      <c r="AD35" s="84">
        <v>1553.4457546554231</v>
      </c>
    </row>
    <row r="36" spans="1:30" x14ac:dyDescent="0.35">
      <c r="A36" t="str">
        <v>HGV40</v>
      </c>
      <c r="B36" s="64">
        <v>550</v>
      </c>
      <c r="C36" s="10" cm="1">
        <f t="array" ref="C36:I36">(B36*(C$3:I$3-C$3)+C$2:I$2-C$2)*C$6:I$6*L$20</f>
        <v>0</v>
      </c>
      <c r="D36" s="10">
        <v>2594.6078347184566</v>
      </c>
      <c r="E36" s="10">
        <v>5321.5667450757774</v>
      </c>
      <c r="F36" s="10">
        <v>8187.6279660710343</v>
      </c>
      <c r="G36" s="10">
        <v>11199.887113538965</v>
      </c>
      <c r="H36" s="10">
        <v>14365.801751033412</v>
      </c>
      <c r="I36" s="10">
        <v>17693.209852798758</v>
      </c>
      <c r="W36" s="4">
        <v>350</v>
      </c>
      <c r="X36" s="84">
        <v>2692.3076923076919</v>
      </c>
      <c r="Y36" s="84">
        <v>1829.776209299742</v>
      </c>
      <c r="Z36" s="84">
        <v>1427.0294258293361</v>
      </c>
      <c r="AA36" s="84">
        <v>1174.6493154972613</v>
      </c>
      <c r="AB36" s="84">
        <v>990.6019883205995</v>
      </c>
      <c r="AC36" s="84">
        <v>845.05250801431112</v>
      </c>
      <c r="AD36" s="84">
        <v>724.94135217253086</v>
      </c>
    </row>
    <row r="37" spans="1:30" x14ac:dyDescent="0.35">
      <c r="A37" t="str">
        <v>MGV24</v>
      </c>
      <c r="B37" s="64">
        <v>300</v>
      </c>
      <c r="C37" s="10" cm="1">
        <f t="array" ref="C37:I37">(B37*(C$3:I$3-C$3)+C$2:I$2-C$2)*C$6:I$6*L$20</f>
        <v>0</v>
      </c>
      <c r="D37" s="10">
        <v>1416.8877980096602</v>
      </c>
      <c r="E37" s="10">
        <v>2906.0511135818838</v>
      </c>
      <c r="F37" s="10">
        <v>4471.1767244885123</v>
      </c>
      <c r="G37" s="10">
        <v>6116.1394712203</v>
      </c>
      <c r="H37" s="10">
        <v>7845.0118500755088</v>
      </c>
      <c r="I37" s="10">
        <v>9662.0740955926176</v>
      </c>
      <c r="W37" s="4">
        <v>200</v>
      </c>
      <c r="X37" s="84">
        <v>1538.4615384615383</v>
      </c>
      <c r="Y37" s="84">
        <v>1045.5864053141383</v>
      </c>
      <c r="Z37" s="84">
        <v>815.44538618819206</v>
      </c>
      <c r="AA37" s="84">
        <v>671.2281802841494</v>
      </c>
      <c r="AB37" s="84">
        <v>566.05827904034265</v>
      </c>
      <c r="AC37" s="84">
        <v>482.88714743674922</v>
      </c>
      <c r="AD37" s="84">
        <v>414.25220124144619</v>
      </c>
    </row>
    <row r="38" spans="1:30" x14ac:dyDescent="0.35">
      <c r="A38" t="str">
        <v>MGV16</v>
      </c>
      <c r="B38" s="64">
        <v>160</v>
      </c>
      <c r="C38" s="10" cm="1">
        <f t="array" ref="C38:I38">(B38*(C$3:I$3-C$3)+C$2:I$2-C$2)*C$6:I$6*L$20</f>
        <v>0</v>
      </c>
      <c r="D38" s="10">
        <v>757.36457745273378</v>
      </c>
      <c r="E38" s="10">
        <v>1553.3623599453038</v>
      </c>
      <c r="F38" s="10">
        <v>2389.9640292022996</v>
      </c>
      <c r="G38" s="10">
        <v>3269.2407915218482</v>
      </c>
      <c r="H38" s="10">
        <v>4193.3695055390826</v>
      </c>
      <c r="I38" s="10">
        <v>5164.6380715571795</v>
      </c>
    </row>
    <row r="39" spans="1:30" x14ac:dyDescent="0.35">
      <c r="W39" s="4" t="s">
        <v>588</v>
      </c>
    </row>
    <row r="40" spans="1:30" x14ac:dyDescent="0.35">
      <c r="A40" t="s">
        <v>373</v>
      </c>
      <c r="B40" t="str" cm="1">
        <f t="array" ref="B40:I40">B34:I34</f>
        <v>kW</v>
      </c>
      <c r="C40">
        <v>2020</v>
      </c>
      <c r="D40">
        <v>2025</v>
      </c>
      <c r="E40">
        <v>2030</v>
      </c>
      <c r="F40">
        <v>2035</v>
      </c>
      <c r="G40">
        <v>2040</v>
      </c>
      <c r="H40">
        <v>2045</v>
      </c>
      <c r="I40">
        <v>2050</v>
      </c>
      <c r="W40" s="4" t="s">
        <v>37</v>
      </c>
    </row>
    <row r="41" spans="1:30" x14ac:dyDescent="0.35">
      <c r="A41" t="str" cm="1">
        <f t="array" ref="A41:B44">A14:B17</f>
        <v>HGV60</v>
      </c>
      <c r="B41" s="64">
        <v>750</v>
      </c>
      <c r="C41" s="10" cm="1">
        <f t="array" ref="C41:I44">(B41:B44*C5:I5+C4:I4)*L20</f>
        <v>17520</v>
      </c>
      <c r="D41" s="10">
        <v>15836.692359935996</v>
      </c>
      <c r="E41" s="10">
        <v>14315.115576669814</v>
      </c>
      <c r="F41" s="10">
        <v>12939.730678347471</v>
      </c>
      <c r="G41" s="10">
        <v>11696.491665149249</v>
      </c>
      <c r="H41" s="10">
        <v>10572.702065726266</v>
      </c>
      <c r="I41" s="10">
        <v>9556.8852755802909</v>
      </c>
      <c r="W41" s="23" cm="1">
        <f t="array" ref="W41:W44">_xlfn.ANCHORARRAY(W28)</f>
        <v>750</v>
      </c>
      <c r="X41" s="84" cm="1">
        <f t="array" ref="X41:AD44">_xlfn.ANCHORARRAY(X34)+_xlfn.ANCHORARRAY(Z28)</f>
        <v>3151.6320166320156</v>
      </c>
      <c r="Y41" s="84">
        <v>687.2563508950152</v>
      </c>
      <c r="Z41" s="84">
        <v>-463.44874473471555</v>
      </c>
      <c r="AA41" s="84">
        <v>-1184.5347742549288</v>
      </c>
      <c r="AB41" s="84">
        <v>-1710.3842804739629</v>
      </c>
      <c r="AC41" s="84">
        <v>-2126.2399384919295</v>
      </c>
      <c r="AD41" s="84">
        <v>-2469.414669468445</v>
      </c>
    </row>
    <row r="42" spans="1:30" x14ac:dyDescent="0.35">
      <c r="A42" t="str">
        <v>HGV40</v>
      </c>
      <c r="B42" s="64">
        <v>550</v>
      </c>
      <c r="C42" s="10">
        <v>13872</v>
      </c>
      <c r="D42" s="10">
        <v>12539.189293209598</v>
      </c>
      <c r="E42" s="10">
        <v>11334.433977144046</v>
      </c>
      <c r="F42" s="10">
        <v>10245.430591897039</v>
      </c>
      <c r="G42" s="10">
        <v>9261.0577841866652</v>
      </c>
      <c r="H42" s="10">
        <v>8371.2627314928504</v>
      </c>
      <c r="I42" s="10">
        <v>7566.9584784731624</v>
      </c>
      <c r="W42">
        <v>550</v>
      </c>
      <c r="X42" s="84">
        <v>2255.5821205821203</v>
      </c>
      <c r="Y42" s="84">
        <v>407.30037127937021</v>
      </c>
      <c r="Z42" s="84">
        <v>-455.72845044292808</v>
      </c>
      <c r="AA42" s="84">
        <v>-996.54297258308816</v>
      </c>
      <c r="AB42" s="84">
        <v>-1390.9301022473637</v>
      </c>
      <c r="AC42" s="84">
        <v>-1702.8218457608386</v>
      </c>
      <c r="AD42" s="84">
        <v>-1960.2028939932252</v>
      </c>
    </row>
    <row r="43" spans="1:30" x14ac:dyDescent="0.35">
      <c r="A43" t="str">
        <v>MGV24</v>
      </c>
      <c r="B43" s="64">
        <v>300</v>
      </c>
      <c r="C43" s="10">
        <v>9312</v>
      </c>
      <c r="D43" s="10">
        <v>8417.310459801598</v>
      </c>
      <c r="E43" s="10">
        <v>7608.5819777368324</v>
      </c>
      <c r="F43" s="10">
        <v>6877.5554838339986</v>
      </c>
      <c r="G43" s="10">
        <v>6216.7654329834368</v>
      </c>
      <c r="H43" s="10">
        <v>5619.4635637010833</v>
      </c>
      <c r="I43" s="10">
        <v>5079.549982089251</v>
      </c>
      <c r="P43" s="84"/>
      <c r="Q43" s="84"/>
      <c r="R43" s="84"/>
      <c r="S43" s="84"/>
      <c r="T43" s="84"/>
      <c r="U43" s="84"/>
      <c r="V43" s="84"/>
      <c r="W43">
        <v>300</v>
      </c>
      <c r="X43" s="84">
        <v>462.44282744282737</v>
      </c>
      <c r="Y43" s="84">
        <v>-400.08865556512251</v>
      </c>
      <c r="Z43" s="84">
        <v>-802.83543903552845</v>
      </c>
      <c r="AA43" s="84">
        <v>-1055.2155493676032</v>
      </c>
      <c r="AB43" s="84">
        <v>-1239.2628765442651</v>
      </c>
      <c r="AC43" s="84">
        <v>-1384.8123568505534</v>
      </c>
      <c r="AD43" s="84">
        <v>-1504.9235126923336</v>
      </c>
    </row>
    <row r="44" spans="1:30" x14ac:dyDescent="0.35">
      <c r="A44" t="str">
        <v>MGV16</v>
      </c>
      <c r="B44" s="64">
        <v>160</v>
      </c>
      <c r="C44" s="10">
        <v>6758.4000000000005</v>
      </c>
      <c r="D44" s="10">
        <v>6109.0583130931191</v>
      </c>
      <c r="E44" s="10">
        <v>5522.1048580687948</v>
      </c>
      <c r="F44" s="10">
        <v>4991.5454233186956</v>
      </c>
      <c r="G44" s="10">
        <v>4511.9617163096282</v>
      </c>
      <c r="H44" s="10">
        <v>4078.4560297376938</v>
      </c>
      <c r="I44" s="10">
        <v>3686.6012241142598</v>
      </c>
      <c r="Q44" s="84"/>
      <c r="R44" s="84"/>
      <c r="S44" s="84"/>
      <c r="T44" s="84"/>
      <c r="U44" s="84"/>
      <c r="V44" s="84"/>
      <c r="W44">
        <v>160</v>
      </c>
      <c r="X44" s="84">
        <v>27.515592515592289</v>
      </c>
      <c r="Y44" s="84">
        <v>-465.3595406318077</v>
      </c>
      <c r="Z44" s="84">
        <v>-695.50055975775399</v>
      </c>
      <c r="AA44" s="84">
        <v>-839.71776566179665</v>
      </c>
      <c r="AB44" s="84">
        <v>-944.8876669056034</v>
      </c>
      <c r="AC44" s="84">
        <v>-1028.0587985091968</v>
      </c>
      <c r="AD44" s="84">
        <v>-1096.6937447044997</v>
      </c>
    </row>
    <row r="45" spans="1:30" x14ac:dyDescent="0.35">
      <c r="Q45" s="84"/>
      <c r="R45" s="84"/>
      <c r="S45" s="84"/>
      <c r="T45" s="84"/>
      <c r="U45" s="84"/>
      <c r="V45" s="84"/>
    </row>
    <row r="46" spans="1:30" x14ac:dyDescent="0.35">
      <c r="A46" t="s">
        <v>378</v>
      </c>
      <c r="B46" t="str" cm="1">
        <f t="array" ref="B46:I46">B13:I13</f>
        <v>kW</v>
      </c>
      <c r="C46">
        <v>2020</v>
      </c>
      <c r="D46">
        <v>2025</v>
      </c>
      <c r="E46">
        <v>2030</v>
      </c>
      <c r="F46">
        <v>2035</v>
      </c>
      <c r="G46">
        <v>2040</v>
      </c>
      <c r="H46">
        <v>2045</v>
      </c>
      <c r="I46">
        <v>2050</v>
      </c>
      <c r="Q46" s="84"/>
      <c r="R46" s="84"/>
      <c r="S46" s="84"/>
      <c r="T46" s="84"/>
      <c r="U46" s="84"/>
      <c r="V46" s="84"/>
      <c r="W46" s="4" t="s">
        <v>589</v>
      </c>
    </row>
    <row r="47" spans="1:30" x14ac:dyDescent="0.35">
      <c r="A47" t="str" cm="1">
        <f t="array" ref="A47:B50">A14:B17</f>
        <v>HGV60</v>
      </c>
      <c r="B47" s="64">
        <v>750</v>
      </c>
      <c r="C47" s="12" cm="1">
        <f t="array" ref="C47:I50">B47:B50*(C9:I9-C10:I10)</f>
        <v>2.0454545454545454</v>
      </c>
      <c r="D47" s="12">
        <v>2.0454545454545454</v>
      </c>
      <c r="E47" s="12">
        <v>2.0454545454545454</v>
      </c>
      <c r="F47" s="12">
        <v>2.0454545454545454</v>
      </c>
      <c r="G47" s="12">
        <v>2.0454545454545454</v>
      </c>
      <c r="H47" s="12">
        <v>2.0454545454545454</v>
      </c>
      <c r="I47" s="12">
        <v>2.0454545454545454</v>
      </c>
      <c r="Q47" s="84"/>
      <c r="R47" s="84"/>
      <c r="S47" s="84"/>
      <c r="T47" s="84"/>
      <c r="U47" s="84"/>
      <c r="V47" s="84"/>
      <c r="W47" t="s">
        <v>37</v>
      </c>
    </row>
    <row r="48" spans="1:30" x14ac:dyDescent="0.35">
      <c r="A48" t="str">
        <v>HGV40</v>
      </c>
      <c r="B48" s="64">
        <v>550</v>
      </c>
      <c r="C48" s="12">
        <v>1.5000000000000002</v>
      </c>
      <c r="D48" s="12">
        <v>1.5000000000000002</v>
      </c>
      <c r="E48" s="12">
        <v>1.5000000000000002</v>
      </c>
      <c r="F48" s="12">
        <v>1.5000000000000002</v>
      </c>
      <c r="G48" s="12">
        <v>1.5000000000000002</v>
      </c>
      <c r="H48" s="12">
        <v>1.5000000000000002</v>
      </c>
      <c r="I48" s="12">
        <v>1.5000000000000002</v>
      </c>
      <c r="W48" s="23" cm="1">
        <f t="array" ref="W48:W51">_xlfn.ANCHORARRAY(W41)</f>
        <v>750</v>
      </c>
      <c r="X48" s="84" cm="1">
        <f t="array" ref="X48:AD51">_xlfn.ANCHORARRAY(C28)+_xlfn.ANCHORARRAY(X34)</f>
        <v>2472.3076923076924</v>
      </c>
      <c r="Y48" s="84">
        <v>7.9320265706919599</v>
      </c>
      <c r="Z48" s="84">
        <v>-1142.7730690590388</v>
      </c>
      <c r="AA48" s="84">
        <v>-1863.8590985792521</v>
      </c>
      <c r="AB48" s="84">
        <v>-2389.7086047982862</v>
      </c>
      <c r="AC48" s="84">
        <v>-2805.5642628162527</v>
      </c>
      <c r="AD48" s="84">
        <v>-3148.7389937927683</v>
      </c>
    </row>
    <row r="49" spans="1:30" x14ac:dyDescent="0.35">
      <c r="A49" t="str">
        <v>MGV24</v>
      </c>
      <c r="B49" s="64">
        <v>300</v>
      </c>
      <c r="C49" s="12">
        <v>0.81818181818181823</v>
      </c>
      <c r="D49" s="12">
        <v>0.81818181818181823</v>
      </c>
      <c r="E49" s="12">
        <v>0.81818181818181823</v>
      </c>
      <c r="F49" s="12">
        <v>0.81818181818181823</v>
      </c>
      <c r="G49" s="12">
        <v>0.81818181818181823</v>
      </c>
      <c r="H49" s="12">
        <v>0.81818181818181823</v>
      </c>
      <c r="I49" s="12">
        <v>0.81818181818181823</v>
      </c>
      <c r="W49">
        <v>550</v>
      </c>
      <c r="X49" s="84">
        <v>1941.2307692307691</v>
      </c>
      <c r="Y49" s="84">
        <v>92.94901992801897</v>
      </c>
      <c r="Z49" s="84">
        <v>-770.07980179427932</v>
      </c>
      <c r="AA49" s="84">
        <v>-1310.8943239344394</v>
      </c>
      <c r="AB49" s="84">
        <v>-1705.281453598715</v>
      </c>
      <c r="AC49" s="84">
        <v>-2017.1731971121899</v>
      </c>
      <c r="AD49" s="84">
        <v>-2274.5542453445764</v>
      </c>
    </row>
    <row r="50" spans="1:30" x14ac:dyDescent="0.35">
      <c r="A50" t="str">
        <v>MGV16</v>
      </c>
      <c r="B50" s="64">
        <v>160</v>
      </c>
      <c r="C50" s="12">
        <v>0.4363636363636364</v>
      </c>
      <c r="D50" s="12">
        <v>0.4363636363636364</v>
      </c>
      <c r="E50" s="12">
        <v>0.4363636363636364</v>
      </c>
      <c r="F50" s="12">
        <v>0.4363636363636364</v>
      </c>
      <c r="G50" s="12">
        <v>0.4363636363636364</v>
      </c>
      <c r="H50" s="12">
        <v>0.4363636363636364</v>
      </c>
      <c r="I50" s="12">
        <v>0.4363636363636364</v>
      </c>
      <c r="W50">
        <v>300</v>
      </c>
      <c r="X50" s="84">
        <v>604.30769230769238</v>
      </c>
      <c r="Y50" s="84">
        <v>-258.2237907002575</v>
      </c>
      <c r="Z50" s="84">
        <v>-660.97057417066344</v>
      </c>
      <c r="AA50" s="84">
        <v>-913.3506845027382</v>
      </c>
      <c r="AB50" s="84">
        <v>-1097.3980116794</v>
      </c>
      <c r="AC50" s="84">
        <v>-1242.9474919856884</v>
      </c>
      <c r="AD50" s="84">
        <v>-1363.0586478274686</v>
      </c>
    </row>
    <row r="51" spans="1:30" x14ac:dyDescent="0.35">
      <c r="W51">
        <v>160</v>
      </c>
      <c r="X51" s="84">
        <v>424.86153846153843</v>
      </c>
      <c r="Y51" s="84">
        <v>-68.013594685861563</v>
      </c>
      <c r="Z51" s="84">
        <v>-298.15461381180785</v>
      </c>
      <c r="AA51" s="84">
        <v>-442.37181971585051</v>
      </c>
      <c r="AB51" s="84">
        <v>-547.54172095965725</v>
      </c>
      <c r="AC51" s="84">
        <v>-630.71285256325064</v>
      </c>
      <c r="AD51" s="84">
        <v>-699.34779875855372</v>
      </c>
    </row>
    <row r="52" spans="1:30" x14ac:dyDescent="0.35">
      <c r="C52" s="84"/>
      <c r="D52" s="84"/>
      <c r="E52" s="84"/>
      <c r="F52" s="84"/>
      <c r="G52" s="84"/>
      <c r="H52" s="84"/>
      <c r="I52" s="84"/>
    </row>
    <row r="53" spans="1:30" x14ac:dyDescent="0.35">
      <c r="C53" s="84"/>
      <c r="D53" s="84"/>
      <c r="E53" s="84"/>
      <c r="F53" s="84"/>
      <c r="G53" s="84"/>
      <c r="H53" s="84"/>
      <c r="I53" s="84"/>
      <c r="W53" s="4" t="s">
        <v>590</v>
      </c>
    </row>
    <row r="54" spans="1:30" x14ac:dyDescent="0.35">
      <c r="C54" s="84"/>
      <c r="D54" s="84"/>
      <c r="E54" s="84"/>
      <c r="F54" s="84"/>
      <c r="G54" s="84"/>
      <c r="H54" s="84"/>
      <c r="I54" s="84"/>
      <c r="W54" s="23" cm="1">
        <f t="array" ref="W54:W57">_xlfn.ANCHORARRAY(W48)</f>
        <v>750</v>
      </c>
      <c r="X54" s="84" cm="1">
        <f t="array" ref="X54:AD57">_xlfn.ANCHORARRAY(X48)-_xlfn.ANCHORARRAY(X41)</f>
        <v>-679.32432432432324</v>
      </c>
      <c r="Y54" s="84">
        <v>-679.32432432432324</v>
      </c>
      <c r="Z54" s="84">
        <v>-679.32432432432324</v>
      </c>
      <c r="AA54" s="84">
        <v>-679.32432432432324</v>
      </c>
      <c r="AB54" s="84">
        <v>-679.32432432432324</v>
      </c>
      <c r="AC54" s="84">
        <v>-679.32432432432324</v>
      </c>
      <c r="AD54" s="84">
        <v>-679.32432432432324</v>
      </c>
    </row>
    <row r="55" spans="1:30" x14ac:dyDescent="0.35">
      <c r="C55" s="84"/>
      <c r="D55" s="84"/>
      <c r="E55" s="84"/>
      <c r="F55" s="84"/>
      <c r="G55" s="84"/>
      <c r="H55" s="84"/>
      <c r="I55" s="84"/>
      <c r="W55">
        <v>550</v>
      </c>
      <c r="X55" s="84">
        <v>-314.35135135135124</v>
      </c>
      <c r="Y55" s="84">
        <v>-314.35135135135124</v>
      </c>
      <c r="Z55" s="84">
        <v>-314.35135135135124</v>
      </c>
      <c r="AA55" s="84">
        <v>-314.35135135135124</v>
      </c>
      <c r="AB55" s="84">
        <v>-314.35135135135124</v>
      </c>
      <c r="AC55" s="84">
        <v>-314.35135135135124</v>
      </c>
      <c r="AD55" s="84">
        <v>-314.35135135135124</v>
      </c>
    </row>
    <row r="56" spans="1:30" x14ac:dyDescent="0.35">
      <c r="W56">
        <v>300</v>
      </c>
      <c r="X56" s="84">
        <v>141.86486486486501</v>
      </c>
      <c r="Y56" s="84">
        <v>141.86486486486501</v>
      </c>
      <c r="Z56" s="84">
        <v>141.86486486486501</v>
      </c>
      <c r="AA56" s="84">
        <v>141.86486486486501</v>
      </c>
      <c r="AB56" s="84">
        <v>141.86486486486501</v>
      </c>
      <c r="AC56" s="84">
        <v>141.86486486486501</v>
      </c>
      <c r="AD56" s="84">
        <v>141.86486486486501</v>
      </c>
    </row>
    <row r="57" spans="1:30" x14ac:dyDescent="0.35">
      <c r="W57">
        <v>160</v>
      </c>
      <c r="X57" s="84">
        <v>397.34594594594614</v>
      </c>
      <c r="Y57" s="84">
        <v>397.34594594594614</v>
      </c>
      <c r="Z57" s="84">
        <v>397.34594594594614</v>
      </c>
      <c r="AA57" s="84">
        <v>397.34594594594614</v>
      </c>
      <c r="AB57" s="84">
        <v>397.34594594594614</v>
      </c>
      <c r="AC57" s="84">
        <v>397.34594594594614</v>
      </c>
      <c r="AD57" s="84">
        <v>397.34594594594603</v>
      </c>
    </row>
  </sheetData>
  <mergeCells count="1">
    <mergeCell ref="AB28:AG30"/>
  </mergeCells>
  <conditionalFormatting sqref="X54:AD57 X48:AD51 X41:AD44">
    <cfRule type="dataBar" priority="1">
      <dataBar>
        <cfvo type="min"/>
        <cfvo type="max"/>
        <color rgb="FF638EC6"/>
      </dataBar>
      <extLst>
        <ext xmlns:x14="http://schemas.microsoft.com/office/spreadsheetml/2009/9/main" uri="{B025F937-C7B1-47D3-B67F-A62EFF666E3E}">
          <x14:id>{CACB5517-EA8A-4423-A52B-C53D0E6F2EA4}</x14:id>
        </ext>
      </extLst>
    </cfRule>
  </conditionalFormatting>
  <pageMargins left="0.7" right="0.7" top="0.75" bottom="0.75" header="0.3" footer="0.3"/>
  <pageSetup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id="{CACB5517-EA8A-4423-A52B-C53D0E6F2EA4}">
            <x14:dataBar minLength="0" maxLength="100" gradient="0">
              <x14:cfvo type="autoMin"/>
              <x14:cfvo type="autoMax"/>
              <x14:negativeFillColor rgb="FFFF0000"/>
              <x14:axisColor rgb="FF000000"/>
            </x14:dataBar>
          </x14:cfRule>
          <xm:sqref>X54:AD57 X48:AD51 X41:AD44</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A39FB-18DE-4872-B4AD-3B651792A085}">
  <dimension ref="A2:BD174"/>
  <sheetViews>
    <sheetView topLeftCell="A34" zoomScaleNormal="100" workbookViewId="0">
      <selection activeCell="M35" sqref="M35"/>
    </sheetView>
  </sheetViews>
  <sheetFormatPr defaultColWidth="8.81640625" defaultRowHeight="14.5" x14ac:dyDescent="0.35"/>
  <cols>
    <col min="3" max="3" width="31.1796875" bestFit="1" customWidth="1"/>
    <col min="4" max="4" width="21" customWidth="1"/>
    <col min="5" max="5" width="9.453125" customWidth="1"/>
    <col min="6" max="8" width="8.81640625" bestFit="1" customWidth="1"/>
    <col min="9" max="9" width="9.81640625" bestFit="1" customWidth="1"/>
    <col min="11" max="12" width="10.81640625" bestFit="1" customWidth="1"/>
    <col min="13" max="14" width="8.81640625" bestFit="1" customWidth="1"/>
    <col min="16" max="28" width="8.6328125" customWidth="1"/>
  </cols>
  <sheetData>
    <row r="2" spans="2:24" x14ac:dyDescent="0.35">
      <c r="D2" s="4"/>
      <c r="E2" s="248" t="s">
        <v>16</v>
      </c>
      <c r="F2" s="248"/>
      <c r="G2" s="248"/>
      <c r="H2" s="248"/>
      <c r="I2" s="4"/>
      <c r="J2" s="4"/>
      <c r="K2" s="4"/>
      <c r="L2" s="4"/>
      <c r="M2" s="4"/>
      <c r="N2" s="4"/>
      <c r="O2" s="4"/>
      <c r="P2" s="4"/>
      <c r="Q2" s="4"/>
      <c r="R2" s="4"/>
      <c r="S2" s="4"/>
      <c r="T2" s="4"/>
      <c r="U2" s="4"/>
      <c r="V2" s="4"/>
      <c r="W2" s="4"/>
      <c r="X2" s="4"/>
    </row>
    <row r="3" spans="2:24" ht="15" thickBot="1" x14ac:dyDescent="0.4">
      <c r="B3" s="4" t="s">
        <v>80</v>
      </c>
      <c r="C3" s="1" t="s">
        <v>81</v>
      </c>
      <c r="D3" s="1" t="s">
        <v>83</v>
      </c>
      <c r="E3" s="1" t="s">
        <v>17</v>
      </c>
      <c r="F3" s="1" t="s">
        <v>18</v>
      </c>
      <c r="G3" s="1" t="s">
        <v>19</v>
      </c>
      <c r="H3" s="1" t="s">
        <v>20</v>
      </c>
      <c r="I3" s="4" t="s">
        <v>0</v>
      </c>
      <c r="J3" s="4"/>
      <c r="K3" s="4" t="s">
        <v>220</v>
      </c>
      <c r="L3" s="4"/>
      <c r="M3" s="4"/>
      <c r="N3" s="4"/>
      <c r="V3" s="4"/>
      <c r="W3" s="4"/>
      <c r="X3" s="4"/>
    </row>
    <row r="4" spans="2:24" ht="15" thickTop="1" x14ac:dyDescent="0.35">
      <c r="B4" s="20" t="s">
        <v>21</v>
      </c>
      <c r="C4" t="s">
        <v>22</v>
      </c>
      <c r="D4" t="s">
        <v>23</v>
      </c>
      <c r="E4" s="27">
        <v>90000</v>
      </c>
      <c r="F4" s="27">
        <v>115000</v>
      </c>
      <c r="G4" s="27">
        <v>80000</v>
      </c>
      <c r="H4" s="27">
        <v>42000</v>
      </c>
      <c r="I4" s="25">
        <v>0</v>
      </c>
      <c r="K4" s="23" t="s">
        <v>639</v>
      </c>
      <c r="L4" s="23"/>
      <c r="M4" s="23"/>
      <c r="N4" s="23"/>
      <c r="V4" s="23"/>
      <c r="W4" s="23"/>
      <c r="X4" s="23"/>
    </row>
    <row r="5" spans="2:24" x14ac:dyDescent="0.35">
      <c r="B5" t="s">
        <v>21</v>
      </c>
      <c r="C5" t="s">
        <v>158</v>
      </c>
      <c r="D5" t="s">
        <v>227</v>
      </c>
      <c r="E5" s="27">
        <f>(52-6)*5</f>
        <v>230</v>
      </c>
      <c r="F5" s="27">
        <f>(52-6)*5</f>
        <v>230</v>
      </c>
      <c r="G5" s="27">
        <f>(52-6)*5</f>
        <v>230</v>
      </c>
      <c r="H5" s="27">
        <f>(52-6)*5</f>
        <v>230</v>
      </c>
      <c r="I5" s="9">
        <v>0</v>
      </c>
      <c r="K5" s="23" t="s">
        <v>638</v>
      </c>
      <c r="L5" s="23"/>
      <c r="M5" s="23"/>
      <c r="N5" s="23"/>
      <c r="V5" s="23"/>
      <c r="W5" s="23"/>
      <c r="X5" s="23"/>
    </row>
    <row r="6" spans="2:24" x14ac:dyDescent="0.35">
      <c r="B6" t="s">
        <v>21</v>
      </c>
      <c r="C6" t="s">
        <v>530</v>
      </c>
      <c r="D6" t="s">
        <v>228</v>
      </c>
      <c r="E6" s="132">
        <v>9</v>
      </c>
      <c r="F6" s="132">
        <v>11</v>
      </c>
      <c r="G6" s="132">
        <v>9</v>
      </c>
      <c r="H6" s="132">
        <v>9</v>
      </c>
      <c r="I6" s="9">
        <v>0</v>
      </c>
      <c r="K6" s="23" t="s">
        <v>537</v>
      </c>
      <c r="L6" s="23"/>
      <c r="M6" s="23"/>
      <c r="N6" s="23"/>
      <c r="V6" s="23"/>
      <c r="W6" s="23"/>
      <c r="X6" s="23"/>
    </row>
    <row r="7" spans="2:24" x14ac:dyDescent="0.35">
      <c r="B7" t="s">
        <v>21</v>
      </c>
      <c r="C7" t="s">
        <v>531</v>
      </c>
      <c r="D7" t="s">
        <v>228</v>
      </c>
      <c r="E7" s="132">
        <v>12</v>
      </c>
      <c r="F7" s="132">
        <v>15</v>
      </c>
      <c r="G7" s="132">
        <v>12</v>
      </c>
      <c r="H7" s="132">
        <v>12</v>
      </c>
      <c r="I7" s="9">
        <v>0</v>
      </c>
      <c r="K7" s="23" t="s">
        <v>532</v>
      </c>
      <c r="L7" s="23"/>
      <c r="M7" s="23"/>
      <c r="N7" s="23"/>
      <c r="V7" s="23"/>
      <c r="W7" s="23"/>
      <c r="X7" s="23"/>
    </row>
    <row r="8" spans="2:24" x14ac:dyDescent="0.35">
      <c r="B8" t="s">
        <v>21</v>
      </c>
      <c r="C8" t="s">
        <v>38</v>
      </c>
      <c r="D8" t="s">
        <v>37</v>
      </c>
      <c r="E8" s="27">
        <v>750</v>
      </c>
      <c r="F8" s="27">
        <v>550</v>
      </c>
      <c r="G8" s="27">
        <v>300</v>
      </c>
      <c r="H8" s="27">
        <v>160</v>
      </c>
      <c r="I8" s="9">
        <v>0</v>
      </c>
      <c r="K8" s="23" t="s">
        <v>641</v>
      </c>
      <c r="L8" s="23"/>
      <c r="M8" s="23"/>
      <c r="N8" s="23"/>
      <c r="V8" s="23"/>
      <c r="W8" s="23"/>
      <c r="X8" s="23"/>
    </row>
    <row r="9" spans="2:24" x14ac:dyDescent="0.35">
      <c r="B9" t="s">
        <v>21</v>
      </c>
      <c r="C9" t="s">
        <v>201</v>
      </c>
      <c r="D9" t="s">
        <v>92</v>
      </c>
      <c r="E9" s="95">
        <v>0.11327999999999999</v>
      </c>
      <c r="F9" s="95">
        <v>9.0240000000000001E-2</v>
      </c>
      <c r="G9" s="95">
        <v>6.1440000000000002E-2</v>
      </c>
      <c r="H9" s="95">
        <v>3.0720000000000001E-2</v>
      </c>
      <c r="I9" s="9">
        <v>0</v>
      </c>
      <c r="K9" s="23" t="s">
        <v>640</v>
      </c>
      <c r="L9" s="23"/>
      <c r="M9" s="23"/>
      <c r="N9" s="23"/>
      <c r="V9" s="23"/>
      <c r="W9" s="23"/>
      <c r="X9" s="23"/>
    </row>
    <row r="10" spans="2:24" x14ac:dyDescent="0.35">
      <c r="B10" t="s">
        <v>21</v>
      </c>
      <c r="C10" t="s">
        <v>25</v>
      </c>
      <c r="D10" t="s">
        <v>26</v>
      </c>
      <c r="E10" s="92">
        <v>2.5000000000000001E-2</v>
      </c>
      <c r="F10" s="93">
        <v>2.5000000000000001E-2</v>
      </c>
      <c r="G10" s="92">
        <v>3.5000000000000003E-2</v>
      </c>
      <c r="H10" s="92">
        <v>0.05</v>
      </c>
      <c r="I10" s="19">
        <v>0</v>
      </c>
      <c r="K10" s="14" t="s">
        <v>642</v>
      </c>
      <c r="N10" s="23"/>
      <c r="V10" s="14"/>
      <c r="W10" s="14"/>
      <c r="X10" s="14"/>
    </row>
    <row r="11" spans="2:24" x14ac:dyDescent="0.35">
      <c r="B11" t="s">
        <v>21</v>
      </c>
      <c r="C11" t="s">
        <v>25</v>
      </c>
      <c r="D11" t="s">
        <v>27</v>
      </c>
      <c r="E11" s="101" cm="1">
        <f t="array" ref="E11:H11">0.28*E10:H10</f>
        <v>7.000000000000001E-3</v>
      </c>
      <c r="F11" s="101">
        <v>7.000000000000001E-3</v>
      </c>
      <c r="G11" s="101">
        <v>9.8000000000000014E-3</v>
      </c>
      <c r="H11" s="101">
        <v>1.4000000000000002E-2</v>
      </c>
      <c r="I11" s="9">
        <v>0</v>
      </c>
      <c r="K11" s="14" t="s">
        <v>643</v>
      </c>
      <c r="V11" s="14"/>
      <c r="W11" s="14"/>
      <c r="X11" s="14"/>
    </row>
    <row r="12" spans="2:24" x14ac:dyDescent="0.35">
      <c r="B12" t="s">
        <v>21</v>
      </c>
      <c r="C12" t="s">
        <v>28</v>
      </c>
      <c r="D12" t="s">
        <v>29</v>
      </c>
      <c r="E12" s="27">
        <v>60000</v>
      </c>
      <c r="F12" s="27">
        <v>40000</v>
      </c>
      <c r="G12" s="27">
        <v>24000</v>
      </c>
      <c r="H12" s="27">
        <v>16000</v>
      </c>
      <c r="I12" s="9">
        <v>0</v>
      </c>
      <c r="K12" s="23" t="s">
        <v>223</v>
      </c>
      <c r="V12" s="23"/>
      <c r="W12" s="23"/>
      <c r="X12" s="23"/>
    </row>
    <row r="13" spans="2:24" x14ac:dyDescent="0.35">
      <c r="B13" t="s">
        <v>21</v>
      </c>
      <c r="C13" t="s">
        <v>250</v>
      </c>
      <c r="D13" t="s">
        <v>24</v>
      </c>
      <c r="E13" s="29" cm="1">
        <f t="array" ref="E13:H13">24-E7:H7</f>
        <v>12</v>
      </c>
      <c r="F13" s="29">
        <v>9</v>
      </c>
      <c r="G13" s="29">
        <v>12</v>
      </c>
      <c r="H13" s="29">
        <v>12</v>
      </c>
      <c r="I13" s="9">
        <v>0</v>
      </c>
      <c r="K13" s="23" t="s">
        <v>529</v>
      </c>
      <c r="V13" s="23"/>
      <c r="W13" s="23"/>
      <c r="X13" s="23"/>
    </row>
    <row r="14" spans="2:24" x14ac:dyDescent="0.35">
      <c r="B14" t="s">
        <v>21</v>
      </c>
      <c r="C14" t="s">
        <v>125</v>
      </c>
      <c r="D14" t="s">
        <v>24</v>
      </c>
      <c r="E14" s="132">
        <v>1</v>
      </c>
      <c r="F14" s="132">
        <v>1</v>
      </c>
      <c r="G14" s="132">
        <v>0.5</v>
      </c>
      <c r="H14" s="132">
        <v>0.2</v>
      </c>
      <c r="I14" s="9">
        <v>0</v>
      </c>
      <c r="K14" s="23" t="s">
        <v>77</v>
      </c>
      <c r="V14" s="23"/>
      <c r="W14" s="23"/>
      <c r="X14" s="23"/>
    </row>
    <row r="15" spans="2:24" x14ac:dyDescent="0.35">
      <c r="B15" t="s">
        <v>21</v>
      </c>
      <c r="C15" t="s">
        <v>126</v>
      </c>
      <c r="D15" t="s">
        <v>24</v>
      </c>
      <c r="E15" s="132">
        <v>0.75</v>
      </c>
      <c r="F15" s="132">
        <v>0.75</v>
      </c>
      <c r="G15" s="132">
        <v>0.75</v>
      </c>
      <c r="H15" s="132">
        <v>0.75</v>
      </c>
      <c r="I15" s="9">
        <v>0</v>
      </c>
      <c r="K15" s="23" t="s">
        <v>77</v>
      </c>
      <c r="V15" s="23"/>
      <c r="W15" s="23"/>
      <c r="X15" s="23"/>
    </row>
    <row r="16" spans="2:24" x14ac:dyDescent="0.35">
      <c r="B16" t="s">
        <v>21</v>
      </c>
      <c r="C16" t="s">
        <v>127</v>
      </c>
      <c r="D16" t="s">
        <v>24</v>
      </c>
      <c r="E16" s="132">
        <v>4.5</v>
      </c>
      <c r="F16" s="132">
        <v>4.5</v>
      </c>
      <c r="G16" s="132">
        <v>4.5</v>
      </c>
      <c r="H16" s="132">
        <v>4.5</v>
      </c>
      <c r="I16" s="9">
        <v>0</v>
      </c>
      <c r="K16" s="23" t="s">
        <v>337</v>
      </c>
      <c r="V16" s="23"/>
      <c r="W16" s="23"/>
      <c r="X16" s="23"/>
    </row>
    <row r="17" spans="2:56" x14ac:dyDescent="0.35">
      <c r="B17" s="24" t="s">
        <v>21</v>
      </c>
      <c r="C17" s="24" t="s">
        <v>128</v>
      </c>
      <c r="D17" s="24" t="s">
        <v>94</v>
      </c>
      <c r="E17" s="109">
        <v>33.6</v>
      </c>
      <c r="F17" s="109">
        <v>33.6</v>
      </c>
      <c r="G17" s="110">
        <v>30</v>
      </c>
      <c r="H17" s="110">
        <v>30</v>
      </c>
      <c r="I17" s="26">
        <v>0</v>
      </c>
      <c r="K17" s="14" t="s">
        <v>642</v>
      </c>
      <c r="W17" s="23"/>
      <c r="X17" s="23"/>
    </row>
    <row r="18" spans="2:56" x14ac:dyDescent="0.35">
      <c r="B18" t="s">
        <v>40</v>
      </c>
      <c r="C18" t="s">
        <v>41</v>
      </c>
      <c r="D18" t="s">
        <v>29</v>
      </c>
      <c r="E18" s="27">
        <v>23000</v>
      </c>
      <c r="F18" s="94">
        <v>20000</v>
      </c>
      <c r="G18" s="27">
        <v>10000</v>
      </c>
      <c r="H18" s="27">
        <v>5000</v>
      </c>
      <c r="I18" s="9">
        <v>0</v>
      </c>
      <c r="K18" s="23" t="s">
        <v>640</v>
      </c>
      <c r="L18" s="23"/>
      <c r="W18" s="23"/>
      <c r="X18" s="23"/>
      <c r="AD18" s="250" t="s">
        <v>392</v>
      </c>
      <c r="AE18" s="250"/>
      <c r="AF18" s="250"/>
      <c r="AG18" s="250"/>
      <c r="AH18" s="250"/>
      <c r="AI18" s="250"/>
      <c r="AJ18" s="250"/>
      <c r="AK18" s="250"/>
      <c r="AL18" s="250"/>
      <c r="AN18" s="35" cm="1">
        <f t="array" ref="AN18:AT18">E52:K52-E52</f>
        <v>0</v>
      </c>
      <c r="AO18" s="35">
        <v>5</v>
      </c>
      <c r="AP18" s="35">
        <v>10</v>
      </c>
      <c r="AQ18" s="35">
        <v>15</v>
      </c>
      <c r="AR18" s="35">
        <v>20</v>
      </c>
      <c r="AS18" s="35">
        <v>25</v>
      </c>
      <c r="AT18" s="35">
        <v>30</v>
      </c>
      <c r="AX18" cm="1">
        <f t="array" ref="AX18:BD18">E83:K83</f>
        <v>2020</v>
      </c>
      <c r="AY18">
        <v>2025</v>
      </c>
      <c r="AZ18">
        <v>2030</v>
      </c>
      <c r="BA18">
        <v>2035</v>
      </c>
      <c r="BB18">
        <v>2040</v>
      </c>
      <c r="BC18">
        <v>2045</v>
      </c>
      <c r="BD18">
        <v>2050</v>
      </c>
    </row>
    <row r="19" spans="2:56" x14ac:dyDescent="0.35">
      <c r="B19" t="s">
        <v>40</v>
      </c>
      <c r="C19" t="s">
        <v>297</v>
      </c>
      <c r="D19" t="s">
        <v>33</v>
      </c>
      <c r="E19" s="27">
        <v>259200</v>
      </c>
      <c r="F19" s="94">
        <v>235200</v>
      </c>
      <c r="G19" s="27">
        <v>148800</v>
      </c>
      <c r="H19" s="27">
        <v>91200</v>
      </c>
      <c r="I19" s="9">
        <v>0</v>
      </c>
      <c r="K19" s="23" t="s">
        <v>211</v>
      </c>
      <c r="L19" s="23"/>
      <c r="W19" s="23"/>
      <c r="X19" s="23"/>
      <c r="AD19" s="250"/>
      <c r="AE19" s="250"/>
      <c r="AF19" s="250"/>
      <c r="AG19" s="250"/>
      <c r="AH19" s="250"/>
      <c r="AI19" s="250"/>
      <c r="AJ19" s="250"/>
      <c r="AK19" s="250"/>
      <c r="AL19" s="250"/>
      <c r="AN19" s="33" cm="1">
        <f t="array" ref="AN19:AT42">POWER(1+I4:I27,AN18:AT18)</f>
        <v>1</v>
      </c>
      <c r="AO19" s="34">
        <v>1</v>
      </c>
      <c r="AP19" s="34">
        <v>1</v>
      </c>
      <c r="AQ19" s="34">
        <v>1</v>
      </c>
      <c r="AR19" s="34">
        <v>1</v>
      </c>
      <c r="AS19" s="34">
        <v>1</v>
      </c>
      <c r="AT19" s="34">
        <v>1</v>
      </c>
      <c r="AV19" t="s">
        <v>17</v>
      </c>
      <c r="AW19" t="str" cm="1">
        <f t="array" ref="AW19:AW22">AV19:AV22&amp;" ICEV"</f>
        <v>HGV60 ICEV</v>
      </c>
      <c r="AX19" s="23" cm="1">
        <f t="array" ref="AX19:BD19">_xlfn.ANCHORARRAY(E78)</f>
        <v>259200</v>
      </c>
      <c r="AY19" s="23">
        <v>262736.7838640855</v>
      </c>
      <c r="AZ19" s="23">
        <v>266453.97925027087</v>
      </c>
      <c r="BA19" s="23">
        <v>270360.78895933705</v>
      </c>
      <c r="BB19" s="23">
        <v>274466.88522739388</v>
      </c>
      <c r="BC19" s="23">
        <v>278782.43367179972</v>
      </c>
      <c r="BD19" s="23">
        <v>283318.11845856369</v>
      </c>
    </row>
    <row r="20" spans="2:56" x14ac:dyDescent="0.35">
      <c r="B20" t="s">
        <v>40</v>
      </c>
      <c r="C20" t="s">
        <v>13</v>
      </c>
      <c r="D20" t="s">
        <v>4</v>
      </c>
      <c r="E20" s="27">
        <v>10</v>
      </c>
      <c r="F20" s="27">
        <v>10</v>
      </c>
      <c r="G20" s="98">
        <v>7</v>
      </c>
      <c r="H20" s="98">
        <v>7</v>
      </c>
      <c r="I20" s="19">
        <v>0</v>
      </c>
      <c r="K20" s="23" t="s">
        <v>211</v>
      </c>
      <c r="L20" s="23"/>
      <c r="W20" t="s">
        <v>209</v>
      </c>
      <c r="X20" s="96">
        <v>9.6000000000000002E-2</v>
      </c>
      <c r="Y20" s="23"/>
      <c r="AD20" s="250"/>
      <c r="AE20" s="250"/>
      <c r="AF20" s="250"/>
      <c r="AG20" s="250"/>
      <c r="AH20" s="250"/>
      <c r="AI20" s="250"/>
      <c r="AJ20" s="250"/>
      <c r="AK20" s="250"/>
      <c r="AL20" s="250"/>
      <c r="AN20" s="34">
        <v>1</v>
      </c>
      <c r="AO20" s="34">
        <v>1</v>
      </c>
      <c r="AP20" s="34">
        <v>1</v>
      </c>
      <c r="AQ20" s="34">
        <v>1</v>
      </c>
      <c r="AR20" s="34">
        <v>1</v>
      </c>
      <c r="AS20" s="34">
        <v>1</v>
      </c>
      <c r="AT20" s="34">
        <v>1</v>
      </c>
      <c r="AV20" t="s">
        <v>18</v>
      </c>
      <c r="AW20" t="str">
        <v>HGV40 ICEV</v>
      </c>
      <c r="AX20" s="23" cm="1">
        <f t="array" ref="AX20:BD20">_xlfn.ANCHORARRAY(E109)</f>
        <v>235200</v>
      </c>
      <c r="AY20" s="23">
        <v>237794.60783471845</v>
      </c>
      <c r="AZ20" s="23">
        <v>240521.56674507578</v>
      </c>
      <c r="BA20" s="23">
        <v>243387.62796607104</v>
      </c>
      <c r="BB20" s="23">
        <v>246399.88711353898</v>
      </c>
      <c r="BC20" s="23">
        <v>249565.8017510334</v>
      </c>
      <c r="BD20" s="23">
        <v>252893.20985279875</v>
      </c>
    </row>
    <row r="21" spans="2:56" x14ac:dyDescent="0.35">
      <c r="B21" t="s">
        <v>40</v>
      </c>
      <c r="C21" t="s">
        <v>34</v>
      </c>
      <c r="D21" t="s">
        <v>92</v>
      </c>
      <c r="E21" s="21">
        <v>9.9840000000000012E-2</v>
      </c>
      <c r="F21" s="21">
        <v>0.11423999999999999</v>
      </c>
      <c r="G21" s="21">
        <v>0.12096</v>
      </c>
      <c r="H21" s="21">
        <v>0.10176</v>
      </c>
      <c r="I21" s="9">
        <v>0</v>
      </c>
      <c r="K21" s="23" t="s">
        <v>211</v>
      </c>
      <c r="L21" s="9"/>
      <c r="W21" t="s">
        <v>204</v>
      </c>
      <c r="X21">
        <v>36.4</v>
      </c>
      <c r="Y21" s="23"/>
      <c r="AD21" s="250"/>
      <c r="AE21" s="250"/>
      <c r="AF21" s="250"/>
      <c r="AG21" s="250"/>
      <c r="AH21" s="250"/>
      <c r="AI21" s="250"/>
      <c r="AJ21" s="250"/>
      <c r="AK21" s="250"/>
      <c r="AL21" s="250"/>
      <c r="AN21" s="34">
        <v>1</v>
      </c>
      <c r="AO21" s="34">
        <v>1</v>
      </c>
      <c r="AP21" s="34">
        <v>1</v>
      </c>
      <c r="AQ21" s="34">
        <v>1</v>
      </c>
      <c r="AR21" s="34">
        <v>1</v>
      </c>
      <c r="AS21" s="34">
        <v>1</v>
      </c>
      <c r="AT21" s="34">
        <v>1</v>
      </c>
      <c r="AV21" t="s">
        <v>19</v>
      </c>
      <c r="AW21" t="str">
        <v>MGV24 ICEV</v>
      </c>
      <c r="AX21" s="23" cm="1">
        <f t="array" ref="AX21:BD21">_xlfn.ANCHORARRAY(E140)</f>
        <v>148800</v>
      </c>
      <c r="AY21" s="23">
        <v>150216.88779800967</v>
      </c>
      <c r="AZ21" s="23">
        <v>151706.0511135819</v>
      </c>
      <c r="BA21" s="23">
        <v>153271.1767244885</v>
      </c>
      <c r="BB21" s="23">
        <v>154916.13947122029</v>
      </c>
      <c r="BC21" s="23">
        <v>156645.01185007551</v>
      </c>
      <c r="BD21" s="23">
        <v>158462.07409559263</v>
      </c>
    </row>
    <row r="22" spans="2:56" x14ac:dyDescent="0.35">
      <c r="B22" t="s">
        <v>40</v>
      </c>
      <c r="C22" t="s">
        <v>36</v>
      </c>
      <c r="D22" t="s">
        <v>2</v>
      </c>
      <c r="E22" s="97">
        <v>0.09</v>
      </c>
      <c r="F22" s="97">
        <v>0.09</v>
      </c>
      <c r="G22" s="97">
        <v>0.09</v>
      </c>
      <c r="H22" s="97">
        <v>0.09</v>
      </c>
      <c r="I22" s="9">
        <v>0</v>
      </c>
      <c r="K22" s="23" t="s">
        <v>211</v>
      </c>
      <c r="L22" s="9"/>
      <c r="W22" t="s">
        <v>203</v>
      </c>
      <c r="X22">
        <v>0.27779999999999999</v>
      </c>
      <c r="Y22" s="23"/>
      <c r="AD22" s="250"/>
      <c r="AE22" s="250"/>
      <c r="AF22" s="250"/>
      <c r="AG22" s="250"/>
      <c r="AH22" s="250"/>
      <c r="AI22" s="250"/>
      <c r="AJ22" s="250"/>
      <c r="AK22" s="250"/>
      <c r="AL22" s="250"/>
      <c r="AN22" s="34">
        <v>1</v>
      </c>
      <c r="AO22" s="34">
        <v>1</v>
      </c>
      <c r="AP22" s="34">
        <v>1</v>
      </c>
      <c r="AQ22" s="34">
        <v>1</v>
      </c>
      <c r="AR22" s="34">
        <v>1</v>
      </c>
      <c r="AS22" s="34">
        <v>1</v>
      </c>
      <c r="AT22" s="34">
        <v>1</v>
      </c>
      <c r="AV22" t="s">
        <v>20</v>
      </c>
      <c r="AW22" t="str">
        <v>MGV16 ICEV</v>
      </c>
      <c r="AX22" s="23" cm="1">
        <f t="array" ref="AX22:BD22">_xlfn.ANCHORARRAY(E171)</f>
        <v>91200</v>
      </c>
      <c r="AY22" s="23">
        <v>91957.364577452739</v>
      </c>
      <c r="AZ22" s="23">
        <v>92753.362359945299</v>
      </c>
      <c r="BA22" s="23">
        <v>93589.964029202296</v>
      </c>
      <c r="BB22" s="23">
        <v>94469.24079152185</v>
      </c>
      <c r="BC22" s="23">
        <v>95393.369505539085</v>
      </c>
      <c r="BD22" s="23">
        <v>96364.638071557187</v>
      </c>
    </row>
    <row r="23" spans="2:56" x14ac:dyDescent="0.35">
      <c r="B23" s="24" t="s">
        <v>40</v>
      </c>
      <c r="C23" s="24" t="s">
        <v>202</v>
      </c>
      <c r="D23" s="24" t="s">
        <v>43</v>
      </c>
      <c r="E23" s="111">
        <v>0.35</v>
      </c>
      <c r="F23" s="111">
        <v>0.27</v>
      </c>
      <c r="G23" s="111">
        <v>0.22</v>
      </c>
      <c r="H23" s="111">
        <v>0.16</v>
      </c>
      <c r="I23" s="26">
        <v>-5.0000000000000001E-3</v>
      </c>
      <c r="K23" s="23" t="s">
        <v>652</v>
      </c>
      <c r="L23" s="14"/>
      <c r="W23" t="s">
        <v>205</v>
      </c>
      <c r="X23" s="42">
        <v>0.35</v>
      </c>
      <c r="Y23" s="23"/>
      <c r="AD23" s="250"/>
      <c r="AE23" s="250"/>
      <c r="AF23" s="250"/>
      <c r="AG23" s="250"/>
      <c r="AH23" s="250"/>
      <c r="AI23" s="250"/>
      <c r="AJ23" s="250"/>
      <c r="AK23" s="250"/>
      <c r="AL23" s="250"/>
      <c r="AN23" s="34">
        <v>1</v>
      </c>
      <c r="AO23" s="34">
        <v>1</v>
      </c>
      <c r="AP23" s="34">
        <v>1</v>
      </c>
      <c r="AQ23" s="34">
        <v>1</v>
      </c>
      <c r="AR23" s="34">
        <v>1</v>
      </c>
      <c r="AS23" s="34">
        <v>1</v>
      </c>
      <c r="AT23" s="34">
        <v>1</v>
      </c>
      <c r="AV23" t="str" cm="1">
        <f t="array" ref="AV23:AV26">AV19:AV22</f>
        <v>HGV60</v>
      </c>
      <c r="AW23" t="str" cm="1">
        <f t="array" ref="AW23:AW26">_xlfn.ANCHORARRAY(AV23)&amp;" BEV (excl. bat.)"</f>
        <v>HGV60 BEV (excl. bat.)</v>
      </c>
      <c r="AX23" s="23" cm="1">
        <f t="array" ref="AX23:BD23">_xlfn.ANCHORARRAY(E80)</f>
        <v>215794.56</v>
      </c>
      <c r="AY23" s="23">
        <v>213303.2646927053</v>
      </c>
      <c r="AZ23" s="23">
        <v>211051.33105347131</v>
      </c>
      <c r="BA23" s="23">
        <v>209015.76140395424</v>
      </c>
      <c r="BB23" s="23">
        <v>207175.76766442088</v>
      </c>
      <c r="BC23" s="23">
        <v>205512.55905727489</v>
      </c>
      <c r="BD23" s="23">
        <v>204009.15020785888</v>
      </c>
    </row>
    <row r="24" spans="2:56" x14ac:dyDescent="0.35">
      <c r="B24" t="s">
        <v>30</v>
      </c>
      <c r="C24" t="s">
        <v>34</v>
      </c>
      <c r="D24" t="s">
        <v>92</v>
      </c>
      <c r="E24" s="101" cm="1">
        <f t="array" ref="E24:H24">0.4*E21:H21</f>
        <v>3.9936000000000006E-2</v>
      </c>
      <c r="F24" s="73">
        <v>4.5696000000000001E-2</v>
      </c>
      <c r="G24" s="101">
        <v>4.8384000000000003E-2</v>
      </c>
      <c r="H24" s="101">
        <v>4.0704000000000004E-2</v>
      </c>
      <c r="I24" s="9">
        <v>0</v>
      </c>
      <c r="K24" s="9" t="s">
        <v>222</v>
      </c>
      <c r="L24" t="s">
        <v>221</v>
      </c>
      <c r="W24" t="s">
        <v>206</v>
      </c>
      <c r="X24" s="42">
        <v>0.85</v>
      </c>
      <c r="Y24" s="9"/>
      <c r="AN24" s="34">
        <v>1</v>
      </c>
      <c r="AO24" s="34">
        <v>1</v>
      </c>
      <c r="AP24" s="34">
        <v>1</v>
      </c>
      <c r="AQ24" s="34">
        <v>1</v>
      </c>
      <c r="AR24" s="34">
        <v>1</v>
      </c>
      <c r="AS24" s="34">
        <v>1</v>
      </c>
      <c r="AT24" s="34">
        <v>1</v>
      </c>
      <c r="AV24" t="str">
        <v>HGV40</v>
      </c>
      <c r="AW24" t="str">
        <v>HGV40 BEV (excl. bat.)</v>
      </c>
      <c r="AX24" s="23" cm="1">
        <f t="array" ref="AX24:BD24">_xlfn.ANCHORARRAY(E111)</f>
        <v>204865.91999999998</v>
      </c>
      <c r="AY24" s="23">
        <v>202893.3601539502</v>
      </c>
      <c r="AZ24" s="23">
        <v>201110.32228617318</v>
      </c>
      <c r="BA24" s="23">
        <v>199498.59727600761</v>
      </c>
      <c r="BB24" s="23">
        <v>198041.72552059629</v>
      </c>
      <c r="BC24" s="23">
        <v>196724.82884260942</v>
      </c>
      <c r="BD24" s="23">
        <v>195534.45854814028</v>
      </c>
    </row>
    <row r="25" spans="2:56" x14ac:dyDescent="0.35">
      <c r="B25" t="s">
        <v>30</v>
      </c>
      <c r="C25" t="s">
        <v>36</v>
      </c>
      <c r="D25" t="s">
        <v>2</v>
      </c>
      <c r="E25" s="31" cm="1">
        <f t="array" ref="E25:H25">E22:H22</f>
        <v>0.09</v>
      </c>
      <c r="F25" s="31">
        <v>0.09</v>
      </c>
      <c r="G25" s="31">
        <v>0.09</v>
      </c>
      <c r="H25" s="31">
        <v>0.09</v>
      </c>
      <c r="I25" s="9">
        <v>0</v>
      </c>
      <c r="K25" s="9" t="s">
        <v>645</v>
      </c>
      <c r="N25" s="23"/>
      <c r="W25" t="s">
        <v>207</v>
      </c>
      <c r="X25" s="68">
        <f>(X23/X24)*X22*X21</f>
        <v>4.163731764705882</v>
      </c>
      <c r="Y25" s="9"/>
      <c r="AN25" s="34">
        <v>1</v>
      </c>
      <c r="AO25" s="34">
        <v>1</v>
      </c>
      <c r="AP25" s="34">
        <v>1</v>
      </c>
      <c r="AQ25" s="34">
        <v>1</v>
      </c>
      <c r="AR25" s="34">
        <v>1</v>
      </c>
      <c r="AS25" s="34">
        <v>1</v>
      </c>
      <c r="AT25" s="34">
        <v>1</v>
      </c>
      <c r="AV25" t="str">
        <v>MGV24</v>
      </c>
      <c r="AW25" t="str">
        <v>MGV24 BEV (excl. bat.)</v>
      </c>
      <c r="AX25" s="23" cm="1">
        <f t="array" ref="AX25:BD25">_xlfn.ANCHORARRAY(E142)</f>
        <v>134805.12</v>
      </c>
      <c r="AY25" s="23">
        <v>133480.97948050639</v>
      </c>
      <c r="AZ25" s="23">
        <v>132284.06132705053</v>
      </c>
      <c r="BA25" s="23">
        <v>131202.1421160743</v>
      </c>
      <c r="BB25" s="23">
        <v>130224.17284081547</v>
      </c>
      <c r="BC25" s="23">
        <v>129340.1660742776</v>
      </c>
      <c r="BD25" s="23">
        <v>128541.0939734921</v>
      </c>
    </row>
    <row r="26" spans="2:56" x14ac:dyDescent="0.35">
      <c r="B26" t="s">
        <v>30</v>
      </c>
      <c r="C26" t="s">
        <v>50</v>
      </c>
      <c r="D26" t="s">
        <v>51</v>
      </c>
      <c r="E26" s="87" cm="1">
        <f t="array" ref="E26:F26">E23:F23*X25</f>
        <v>1.4573061176470585</v>
      </c>
      <c r="F26" s="87">
        <v>1.1242075764705881</v>
      </c>
      <c r="G26" s="87" cm="1">
        <f t="array" ref="G26:H26">G23:H23*X25*X26</f>
        <v>0.6412146917647058</v>
      </c>
      <c r="H26" s="87">
        <v>0.46633795764705877</v>
      </c>
      <c r="I26" s="19">
        <v>-6.0000000000000001E-3</v>
      </c>
      <c r="K26" s="23" t="s">
        <v>653</v>
      </c>
      <c r="L26" s="23"/>
      <c r="M26" s="23"/>
      <c r="N26" s="23"/>
      <c r="W26" t="s">
        <v>208</v>
      </c>
      <c r="X26">
        <v>0.7</v>
      </c>
      <c r="Y26" s="23" t="s">
        <v>210</v>
      </c>
      <c r="AN26" s="34">
        <v>1</v>
      </c>
      <c r="AO26" s="34">
        <v>1</v>
      </c>
      <c r="AP26" s="34">
        <v>1</v>
      </c>
      <c r="AQ26" s="34">
        <v>1</v>
      </c>
      <c r="AR26" s="34">
        <v>1</v>
      </c>
      <c r="AS26" s="34">
        <v>1</v>
      </c>
      <c r="AT26" s="34">
        <v>1</v>
      </c>
      <c r="AV26" t="str">
        <v>MGV16</v>
      </c>
      <c r="AW26" t="str">
        <v>MGV16 BEV (excl. bat.)</v>
      </c>
      <c r="AX26" s="23" cm="1">
        <f t="array" ref="AX26:BD26">_xlfn.ANCHORARRAY(E173)</f>
        <v>86355.072</v>
      </c>
      <c r="AY26" s="23">
        <v>85394.046303377821</v>
      </c>
      <c r="AZ26" s="23">
        <v>84525.355189941809</v>
      </c>
      <c r="BA26" s="23">
        <v>83740.127226511671</v>
      </c>
      <c r="BB26" s="23">
        <v>83030.34334013825</v>
      </c>
      <c r="BC26" s="23">
        <v>82388.754924011795</v>
      </c>
      <c r="BD26" s="23">
        <v>81808.809811689105</v>
      </c>
    </row>
    <row r="27" spans="2:56" x14ac:dyDescent="0.35">
      <c r="B27" t="s">
        <v>30</v>
      </c>
      <c r="C27" t="s">
        <v>39</v>
      </c>
      <c r="D27" t="s">
        <v>23</v>
      </c>
      <c r="E27" s="27">
        <v>50</v>
      </c>
      <c r="F27" s="27">
        <v>50</v>
      </c>
      <c r="G27" s="27">
        <v>30</v>
      </c>
      <c r="H27" s="27">
        <v>20</v>
      </c>
      <c r="I27" s="9">
        <v>0</v>
      </c>
      <c r="K27" s="23" t="s">
        <v>77</v>
      </c>
      <c r="L27" s="23"/>
      <c r="V27" s="23"/>
      <c r="W27" s="23"/>
      <c r="X27" s="23"/>
      <c r="AN27" s="34">
        <v>1</v>
      </c>
      <c r="AO27" s="34">
        <v>1</v>
      </c>
      <c r="AP27" s="34">
        <v>1</v>
      </c>
      <c r="AQ27" s="34">
        <v>1</v>
      </c>
      <c r="AR27" s="34">
        <v>1</v>
      </c>
      <c r="AS27" s="34">
        <v>1</v>
      </c>
      <c r="AT27" s="34">
        <v>1</v>
      </c>
      <c r="AV27" t="str" cm="1">
        <f t="array" ref="AV27:AV30">_xlfn.ANCHORARRAY(AV23)</f>
        <v>HGV60</v>
      </c>
      <c r="AW27" t="str" cm="1">
        <f t="array" ref="AW27:AW30">_xlfn.ANCHORARRAY(AV27)&amp;"BEV ("&amp;_xlfn.ANCHORARRAY(AW34)&amp;" km)"</f>
        <v>HGV60BEV (590 km)</v>
      </c>
      <c r="AX27" s="23" cm="1">
        <f t="array" ref="AX27:BD30">AX34:BD37*batteries!E23:K23+AX23:BD26</f>
        <v>572946.65929411747</v>
      </c>
      <c r="AY27" s="23">
        <v>421769.94540655834</v>
      </c>
      <c r="AZ27" s="23">
        <v>352357.5516836117</v>
      </c>
      <c r="BA27" s="23">
        <v>311601.11020875792</v>
      </c>
      <c r="BB27" s="23">
        <v>284819.54101308156</v>
      </c>
      <c r="BC27" s="23">
        <v>266165.39836655767</v>
      </c>
      <c r="BD27" s="23">
        <v>252727.02412823294</v>
      </c>
    </row>
    <row r="28" spans="2:56" x14ac:dyDescent="0.35">
      <c r="B28" t="s">
        <v>30</v>
      </c>
      <c r="C28" t="s">
        <v>369</v>
      </c>
      <c r="D28" t="s">
        <v>4</v>
      </c>
      <c r="E28" s="57" cm="1">
        <f t="array" ref="E28:H28">E20:H20</f>
        <v>10</v>
      </c>
      <c r="F28" s="76">
        <v>10</v>
      </c>
      <c r="G28" s="57">
        <v>7</v>
      </c>
      <c r="H28" s="57">
        <v>7</v>
      </c>
      <c r="I28" s="9" t="str">
        <f>""</f>
        <v/>
      </c>
      <c r="K28" s="9" t="s">
        <v>644</v>
      </c>
      <c r="X28" s="42"/>
      <c r="Y28" s="9"/>
      <c r="AN28" s="34">
        <v>1</v>
      </c>
      <c r="AO28" s="34">
        <v>1</v>
      </c>
      <c r="AP28" s="34">
        <v>1</v>
      </c>
      <c r="AQ28" s="34">
        <v>1</v>
      </c>
      <c r="AR28" s="34">
        <v>1</v>
      </c>
      <c r="AS28" s="34">
        <v>1</v>
      </c>
      <c r="AT28" s="34">
        <v>1</v>
      </c>
      <c r="AV28" t="str">
        <v>HGV40</v>
      </c>
      <c r="AW28" t="str">
        <v>HGV40BEV (750 km)</v>
      </c>
      <c r="AX28" s="23">
        <v>555099.81882352941</v>
      </c>
      <c r="AY28" s="23">
        <v>407321.94535760756</v>
      </c>
      <c r="AZ28" s="23">
        <v>339679.37641500332</v>
      </c>
      <c r="BA28" s="23">
        <v>300096.820680234</v>
      </c>
      <c r="BB28" s="23">
        <v>274181.5032595977</v>
      </c>
      <c r="BC28" s="23">
        <v>256202.79475122812</v>
      </c>
      <c r="BD28" s="23">
        <v>243308.64483809547</v>
      </c>
    </row>
    <row r="29" spans="2:56" x14ac:dyDescent="0.35">
      <c r="B29" t="s">
        <v>30</v>
      </c>
      <c r="C29" t="s">
        <v>370</v>
      </c>
      <c r="D29" t="s">
        <v>4</v>
      </c>
      <c r="E29" s="106">
        <v>15</v>
      </c>
      <c r="F29" s="148">
        <v>15</v>
      </c>
      <c r="G29" s="106">
        <v>12</v>
      </c>
      <c r="H29" s="106">
        <v>12</v>
      </c>
      <c r="I29" s="9" t="str">
        <f>""</f>
        <v/>
      </c>
      <c r="K29" s="9" t="s">
        <v>644</v>
      </c>
      <c r="X29" s="42"/>
      <c r="Y29" s="9"/>
      <c r="AN29" s="34">
        <v>1</v>
      </c>
      <c r="AO29" s="34">
        <v>1</v>
      </c>
      <c r="AP29" s="34">
        <v>1</v>
      </c>
      <c r="AQ29" s="34">
        <v>1</v>
      </c>
      <c r="AR29" s="34">
        <v>1</v>
      </c>
      <c r="AS29" s="34">
        <v>1</v>
      </c>
      <c r="AT29" s="34">
        <v>1</v>
      </c>
      <c r="AV29" t="str">
        <v>MGV24</v>
      </c>
      <c r="AW29" t="str">
        <v>MGV24BEV (520 km)</v>
      </c>
      <c r="AX29" s="23">
        <v>273307.49342117645</v>
      </c>
      <c r="AY29" s="23">
        <v>214323.65159462433</v>
      </c>
      <c r="AZ29" s="23">
        <v>187082.13468328124</v>
      </c>
      <c r="BA29" s="23">
        <v>170984.39263563207</v>
      </c>
      <c r="BB29" s="23">
        <v>160334.16494619439</v>
      </c>
      <c r="BC29" s="23">
        <v>152861.13155557233</v>
      </c>
      <c r="BD29" s="23">
        <v>147433.72033447784</v>
      </c>
    </row>
    <row r="30" spans="2:56" x14ac:dyDescent="0.35">
      <c r="B30" t="s">
        <v>30</v>
      </c>
      <c r="C30" t="s">
        <v>335</v>
      </c>
      <c r="D30" t="s">
        <v>49</v>
      </c>
      <c r="E30" s="10" cm="1">
        <f t="array" ref="E30:H30">E26:H26*E4:H4/E5:H5</f>
        <v>570.25021994884901</v>
      </c>
      <c r="F30" s="10">
        <v>562.10378823529402</v>
      </c>
      <c r="G30" s="10">
        <v>223.03119713554986</v>
      </c>
      <c r="H30" s="10">
        <v>85.157366179028131</v>
      </c>
      <c r="I30" s="9" t="str">
        <f>""</f>
        <v/>
      </c>
      <c r="W30" t="s">
        <v>20</v>
      </c>
      <c r="X30" t="s">
        <v>194</v>
      </c>
      <c r="Y30" t="s">
        <v>198</v>
      </c>
      <c r="AN30" s="34">
        <v>1</v>
      </c>
      <c r="AO30" s="34">
        <v>1</v>
      </c>
      <c r="AP30" s="34">
        <v>1</v>
      </c>
      <c r="AQ30" s="34">
        <v>1</v>
      </c>
      <c r="AR30" s="34">
        <v>1</v>
      </c>
      <c r="AS30" s="34">
        <v>1</v>
      </c>
      <c r="AT30" s="34">
        <v>1</v>
      </c>
      <c r="AV30" t="str">
        <v>MGV16</v>
      </c>
      <c r="AW30" t="str">
        <v>MGV16BEV (270 km)</v>
      </c>
      <c r="AX30" s="23">
        <v>138656.66755764704</v>
      </c>
      <c r="AY30" s="23">
        <v>115922.04836045732</v>
      </c>
      <c r="AZ30" s="23">
        <v>105218.33393984711</v>
      </c>
      <c r="BA30" s="23">
        <v>98762.795254876153</v>
      </c>
      <c r="BB30" s="23">
        <v>94400.55014916246</v>
      </c>
      <c r="BC30" s="23">
        <v>91270.797833032178</v>
      </c>
      <c r="BD30" s="23">
        <v>88943.088297655748</v>
      </c>
    </row>
    <row r="31" spans="2:56" x14ac:dyDescent="0.35">
      <c r="W31" t="s">
        <v>19</v>
      </c>
      <c r="X31" t="s">
        <v>195</v>
      </c>
      <c r="Y31" t="s">
        <v>199</v>
      </c>
      <c r="AN31" s="34">
        <v>1</v>
      </c>
      <c r="AO31" s="34">
        <v>1</v>
      </c>
      <c r="AP31" s="34">
        <v>1</v>
      </c>
      <c r="AQ31" s="34">
        <v>1</v>
      </c>
      <c r="AR31" s="34">
        <v>1</v>
      </c>
      <c r="AS31" s="34">
        <v>1</v>
      </c>
      <c r="AT31" s="34">
        <v>1</v>
      </c>
    </row>
    <row r="32" spans="2:56" x14ac:dyDescent="0.35">
      <c r="W32" t="s">
        <v>18</v>
      </c>
      <c r="X32" t="s">
        <v>196</v>
      </c>
      <c r="Y32" t="s">
        <v>200</v>
      </c>
      <c r="AN32" s="34">
        <v>1</v>
      </c>
      <c r="AO32" s="34">
        <v>1</v>
      </c>
      <c r="AP32" s="34">
        <v>1</v>
      </c>
      <c r="AQ32" s="34">
        <v>1</v>
      </c>
      <c r="AR32" s="34">
        <v>1</v>
      </c>
      <c r="AS32" s="34">
        <v>1</v>
      </c>
      <c r="AT32" s="34">
        <v>1</v>
      </c>
    </row>
    <row r="33" spans="2:56" x14ac:dyDescent="0.35">
      <c r="B33" t="s">
        <v>30</v>
      </c>
      <c r="C33" t="s">
        <v>336</v>
      </c>
      <c r="D33" t="s">
        <v>37</v>
      </c>
      <c r="E33" s="10" cm="1">
        <f t="array" ref="E33:H33">E26:H26*85</f>
        <v>123.87101999999997</v>
      </c>
      <c r="F33" s="10">
        <v>95.557643999999996</v>
      </c>
      <c r="G33" s="10">
        <v>54.503248799999994</v>
      </c>
      <c r="H33" s="10">
        <v>39.638726399999996</v>
      </c>
      <c r="W33" t="s">
        <v>17</v>
      </c>
      <c r="X33" t="s">
        <v>196</v>
      </c>
      <c r="Y33" t="s">
        <v>197</v>
      </c>
      <c r="AN33" s="34">
        <v>1</v>
      </c>
      <c r="AO33" s="34">
        <v>1</v>
      </c>
      <c r="AP33" s="34">
        <v>1</v>
      </c>
      <c r="AQ33" s="34">
        <v>1</v>
      </c>
      <c r="AR33" s="34">
        <v>1</v>
      </c>
      <c r="AS33" s="34">
        <v>1</v>
      </c>
      <c r="AT33" s="34">
        <v>1</v>
      </c>
      <c r="AW33" t="s">
        <v>507</v>
      </c>
      <c r="AX33" t="s">
        <v>508</v>
      </c>
    </row>
    <row r="34" spans="2:56" x14ac:dyDescent="0.35">
      <c r="B34" t="s">
        <v>21</v>
      </c>
      <c r="C34" t="s">
        <v>533</v>
      </c>
      <c r="D34" t="s">
        <v>534</v>
      </c>
      <c r="E34" s="10" cm="1">
        <f t="array" ref="E34:H34">E4:H4/(E5:H5*E6:H6)</f>
        <v>43.478260869565219</v>
      </c>
      <c r="F34" s="10">
        <v>45.454545454545453</v>
      </c>
      <c r="G34" s="10">
        <v>38.647342995169083</v>
      </c>
      <c r="H34" s="10">
        <v>20.289855072463769</v>
      </c>
      <c r="AN34" s="34">
        <v>1</v>
      </c>
      <c r="AO34" s="34">
        <v>1</v>
      </c>
      <c r="AP34" s="34">
        <v>1</v>
      </c>
      <c r="AQ34" s="34">
        <v>1</v>
      </c>
      <c r="AR34" s="34">
        <v>1</v>
      </c>
      <c r="AS34" s="34">
        <v>1</v>
      </c>
      <c r="AT34" s="34">
        <v>1</v>
      </c>
      <c r="AV34" t="str" cm="1">
        <f t="array" ref="AV34:AV37">_xlfn.ANCHORARRAY(AV23)</f>
        <v>HGV60</v>
      </c>
      <c r="AW34" s="84" cm="1">
        <f t="array" ref="AW34:AW37">ROUND(TRANSPOSE(E4:H4/E5:H5)*1.5,-1)</f>
        <v>590</v>
      </c>
      <c r="AX34" s="84" cm="1">
        <f t="array" ref="AX34:BD34">AW34*E75:K75</f>
        <v>859.81060941176452</v>
      </c>
      <c r="AY34" s="84">
        <v>834.32397132277049</v>
      </c>
      <c r="AZ34" s="84">
        <v>809.59281207291713</v>
      </c>
      <c r="BA34" s="84">
        <v>785.59473764246786</v>
      </c>
      <c r="BB34" s="84">
        <v>762.30801781865705</v>
      </c>
      <c r="BC34" s="84">
        <v>739.71156651902174</v>
      </c>
      <c r="BD34" s="84">
        <v>717.78492269799335</v>
      </c>
    </row>
    <row r="35" spans="2:56" x14ac:dyDescent="0.35">
      <c r="B35" t="s">
        <v>21</v>
      </c>
      <c r="C35" t="s">
        <v>542</v>
      </c>
      <c r="D35" t="s">
        <v>23</v>
      </c>
      <c r="E35" s="10" cm="1">
        <f t="array" ref="E35:H35">E4:H4/E5:H5</f>
        <v>391.30434782608694</v>
      </c>
      <c r="F35" s="10">
        <v>500</v>
      </c>
      <c r="G35" s="10">
        <v>347.82608695652175</v>
      </c>
      <c r="H35" s="10">
        <v>182.60869565217391</v>
      </c>
      <c r="AN35" s="34">
        <v>1</v>
      </c>
      <c r="AO35" s="34">
        <v>1</v>
      </c>
      <c r="AP35" s="34">
        <v>1</v>
      </c>
      <c r="AQ35" s="34">
        <v>1</v>
      </c>
      <c r="AR35" s="34">
        <v>1</v>
      </c>
      <c r="AS35" s="34">
        <v>1</v>
      </c>
      <c r="AT35" s="34">
        <v>1</v>
      </c>
      <c r="AV35" t="str">
        <v>HGV40</v>
      </c>
      <c r="AW35" s="84">
        <v>750</v>
      </c>
      <c r="AX35" s="84" cm="1">
        <f t="array" ref="AX35:BD35">AW35*E106:K106</f>
        <v>843.15568235294108</v>
      </c>
      <c r="AY35" s="84">
        <v>818.16273216881859</v>
      </c>
      <c r="AZ35" s="84">
        <v>793.91062685116583</v>
      </c>
      <c r="BA35" s="84">
        <v>770.37740616271071</v>
      </c>
      <c r="BB35" s="84">
        <v>747.54176081490584</v>
      </c>
      <c r="BC35" s="84">
        <v>725.38301317240644</v>
      </c>
      <c r="BD35" s="84">
        <v>703.88109852950936</v>
      </c>
    </row>
    <row r="36" spans="2:56" x14ac:dyDescent="0.35">
      <c r="E36" s="132"/>
      <c r="F36" s="132"/>
      <c r="G36" s="132"/>
      <c r="H36" s="132"/>
      <c r="I36" s="9"/>
      <c r="K36" s="23"/>
      <c r="AN36" s="34">
        <v>1</v>
      </c>
      <c r="AO36" s="34">
        <v>1</v>
      </c>
      <c r="AP36" s="34">
        <v>1</v>
      </c>
      <c r="AQ36" s="34">
        <v>1</v>
      </c>
      <c r="AR36" s="34">
        <v>1</v>
      </c>
      <c r="AS36" s="34">
        <v>1</v>
      </c>
      <c r="AT36" s="34">
        <v>1</v>
      </c>
      <c r="AV36" t="str">
        <v>MGV24</v>
      </c>
      <c r="AW36" s="84">
        <v>520</v>
      </c>
      <c r="AX36" s="84" cm="1">
        <f t="array" ref="AX36:BD36">AW36*E137:K137</f>
        <v>333.43163971764704</v>
      </c>
      <c r="AY36" s="84">
        <v>323.54800786211848</v>
      </c>
      <c r="AZ36" s="84">
        <v>313.95734813946348</v>
      </c>
      <c r="BA36" s="84">
        <v>304.65097622474013</v>
      </c>
      <c r="BB36" s="84">
        <v>295.62046521509956</v>
      </c>
      <c r="BC36" s="84">
        <v>286.85763799924098</v>
      </c>
      <c r="BD36" s="84">
        <v>278.35455985305236</v>
      </c>
    </row>
    <row r="37" spans="2:56" ht="15" thickBot="1" x14ac:dyDescent="0.4">
      <c r="E37" s="1">
        <v>2020</v>
      </c>
      <c r="F37" s="1">
        <v>2025</v>
      </c>
      <c r="G37" s="1">
        <v>2030</v>
      </c>
      <c r="H37" s="1">
        <v>2035</v>
      </c>
      <c r="I37" s="1">
        <v>2040</v>
      </c>
      <c r="J37" s="1">
        <v>2045</v>
      </c>
      <c r="K37" s="1">
        <v>2050</v>
      </c>
      <c r="W37" s="4" t="s">
        <v>669</v>
      </c>
      <c r="AN37" s="34">
        <v>1</v>
      </c>
      <c r="AO37" s="34">
        <v>1</v>
      </c>
      <c r="AP37" s="34">
        <v>1</v>
      </c>
      <c r="AQ37" s="34">
        <v>1</v>
      </c>
      <c r="AR37" s="34">
        <v>1</v>
      </c>
      <c r="AS37" s="34">
        <v>1</v>
      </c>
      <c r="AT37" s="34">
        <v>1</v>
      </c>
      <c r="AV37" t="str">
        <v>MGV16</v>
      </c>
      <c r="AW37" s="84">
        <v>270</v>
      </c>
      <c r="AX37" s="84" cm="1">
        <f t="array" ref="AX37:BD37">AW37*E168:K168</f>
        <v>125.91124856470587</v>
      </c>
      <c r="AY37" s="84">
        <v>122.1789680038769</v>
      </c>
      <c r="AZ37" s="84">
        <v>118.55732027644076</v>
      </c>
      <c r="BA37" s="84">
        <v>115.04302598696479</v>
      </c>
      <c r="BB37" s="84">
        <v>111.63290294835927</v>
      </c>
      <c r="BC37" s="84">
        <v>108.32386330041268</v>
      </c>
      <c r="BD37" s="84">
        <v>105.11291071374006</v>
      </c>
    </row>
    <row r="38" spans="2:56" ht="15" thickTop="1" x14ac:dyDescent="0.35">
      <c r="B38" t="str" cm="1">
        <f t="array" ref="B38:B41">TRANSPOSE(E3:H3)</f>
        <v>HGV60</v>
      </c>
      <c r="C38" t="s">
        <v>236</v>
      </c>
      <c r="D38" t="s">
        <v>33</v>
      </c>
      <c r="E38" s="38" cm="1">
        <f t="array" ref="E38:K41">powertrains!C35:I38</f>
        <v>0</v>
      </c>
      <c r="F38" s="38">
        <v>3536.7838640854934</v>
      </c>
      <c r="G38" s="38">
        <v>7253.9792502708924</v>
      </c>
      <c r="H38" s="38">
        <v>11160.788959337053</v>
      </c>
      <c r="I38" s="38">
        <v>15266.885227393896</v>
      </c>
      <c r="J38" s="38">
        <v>19582.433671799732</v>
      </c>
      <c r="K38" s="38">
        <v>24118.118458563669</v>
      </c>
      <c r="X38" t="s">
        <v>655</v>
      </c>
      <c r="Y38" t="s">
        <v>656</v>
      </c>
      <c r="AN38" s="34">
        <v>1</v>
      </c>
      <c r="AO38" s="34">
        <v>0.97524875312187509</v>
      </c>
      <c r="AP38" s="34">
        <v>0.95111013046577197</v>
      </c>
      <c r="AQ38" s="34">
        <v>0.92756896881832807</v>
      </c>
      <c r="AR38" s="34">
        <v>0.90461048027461777</v>
      </c>
      <c r="AS38" s="34">
        <v>0.88222024294880153</v>
      </c>
      <c r="AT38" s="34">
        <v>0.86038419191469639</v>
      </c>
      <c r="AW38" s="84"/>
      <c r="AY38" s="84"/>
      <c r="AZ38" s="84"/>
      <c r="BA38" s="84"/>
      <c r="BB38" s="84"/>
      <c r="BC38" s="84"/>
      <c r="BD38" s="84"/>
    </row>
    <row r="39" spans="2:56" x14ac:dyDescent="0.35">
      <c r="B39" t="str">
        <v>HGV40</v>
      </c>
      <c r="C39" t="s">
        <v>236</v>
      </c>
      <c r="D39" t="s">
        <v>33</v>
      </c>
      <c r="E39" s="38">
        <v>0</v>
      </c>
      <c r="F39" s="38">
        <v>2594.6078347184566</v>
      </c>
      <c r="G39" s="38">
        <v>5321.5667450757774</v>
      </c>
      <c r="H39" s="38">
        <v>8187.6279660710343</v>
      </c>
      <c r="I39" s="38">
        <v>11199.887113538965</v>
      </c>
      <c r="J39" s="38">
        <v>14365.801751033412</v>
      </c>
      <c r="K39" s="38">
        <v>17693.209852798758</v>
      </c>
      <c r="V39" t="s">
        <v>659</v>
      </c>
      <c r="W39" t="s">
        <v>654</v>
      </c>
      <c r="X39" s="42">
        <v>0.35</v>
      </c>
      <c r="Y39" s="42">
        <v>0.85</v>
      </c>
      <c r="AN39" s="34">
        <v>1</v>
      </c>
      <c r="AO39" s="34">
        <v>1</v>
      </c>
      <c r="AP39" s="34">
        <v>1</v>
      </c>
      <c r="AQ39" s="34">
        <v>1</v>
      </c>
      <c r="AR39" s="34">
        <v>1</v>
      </c>
      <c r="AS39" s="34">
        <v>1</v>
      </c>
      <c r="AT39" s="34">
        <v>1</v>
      </c>
    </row>
    <row r="40" spans="2:56" x14ac:dyDescent="0.35">
      <c r="B40" t="str">
        <v>MGV24</v>
      </c>
      <c r="C40" t="s">
        <v>236</v>
      </c>
      <c r="D40" t="s">
        <v>33</v>
      </c>
      <c r="E40" s="38">
        <v>0</v>
      </c>
      <c r="F40" s="38">
        <v>1416.8877980096602</v>
      </c>
      <c r="G40" s="38">
        <v>2906.0511135818838</v>
      </c>
      <c r="H40" s="38">
        <v>4471.1767244885123</v>
      </c>
      <c r="I40" s="38">
        <v>6116.1394712203</v>
      </c>
      <c r="J40" s="38">
        <v>7845.0118500755088</v>
      </c>
      <c r="K40" s="38">
        <v>9662.0740955926176</v>
      </c>
      <c r="W40" t="s">
        <v>332</v>
      </c>
      <c r="X40" s="14">
        <f>Y40*Y39/X39</f>
        <v>2.6714285714285717</v>
      </c>
      <c r="Y40" s="14">
        <v>1.1000000000000001</v>
      </c>
      <c r="AN40" s="6">
        <v>1</v>
      </c>
      <c r="AO40" s="6">
        <v>1</v>
      </c>
      <c r="AP40" s="6">
        <v>1</v>
      </c>
      <c r="AQ40" s="6">
        <v>1</v>
      </c>
      <c r="AR40" s="6">
        <v>1</v>
      </c>
      <c r="AS40" s="6">
        <v>1</v>
      </c>
      <c r="AT40" s="6">
        <v>1</v>
      </c>
    </row>
    <row r="41" spans="2:56" x14ac:dyDescent="0.35">
      <c r="B41" t="str">
        <v>MGV16</v>
      </c>
      <c r="C41" t="s">
        <v>236</v>
      </c>
      <c r="D41" t="s">
        <v>33</v>
      </c>
      <c r="E41" s="38">
        <v>0</v>
      </c>
      <c r="F41" s="38">
        <v>757.36457745273378</v>
      </c>
      <c r="G41" s="38">
        <v>1553.3623599453038</v>
      </c>
      <c r="H41" s="38">
        <v>2389.9640292022996</v>
      </c>
      <c r="I41" s="38">
        <v>3269.2407915218482</v>
      </c>
      <c r="J41" s="38">
        <v>4193.3695055390826</v>
      </c>
      <c r="K41" s="38">
        <v>5164.6380715571795</v>
      </c>
      <c r="W41" t="s">
        <v>657</v>
      </c>
      <c r="X41" s="14" cm="1">
        <f t="array" ref="X41:Y41">X40:Y40/10</f>
        <v>0.26714285714285718</v>
      </c>
      <c r="Y41" s="14">
        <v>0.11000000000000001</v>
      </c>
      <c r="AA41">
        <f>Y41/X41</f>
        <v>0.41176470588235292</v>
      </c>
      <c r="AN41" s="6">
        <v>1</v>
      </c>
      <c r="AO41" s="6">
        <v>0.97035784647222412</v>
      </c>
      <c r="AP41" s="6">
        <v>0.94159435021021243</v>
      </c>
      <c r="AQ41" s="6">
        <v>0.91368346592039484</v>
      </c>
      <c r="AR41" s="6">
        <v>0.88659992034779211</v>
      </c>
      <c r="AS41" s="6">
        <v>0.86031918939112884</v>
      </c>
      <c r="AT41" s="6">
        <v>0.83481747589630539</v>
      </c>
    </row>
    <row r="42" spans="2:56" x14ac:dyDescent="0.35">
      <c r="B42" t="str" cm="1">
        <f t="array" ref="B42:B45">_xlfn.ANCHORARRAY(B38)</f>
        <v>HGV60</v>
      </c>
      <c r="C42" t="s">
        <v>234</v>
      </c>
      <c r="D42" t="s">
        <v>33</v>
      </c>
      <c r="E42" s="38" cm="1">
        <f t="array" ref="E42:K45">_xlfn.ANCHORARRAY(powertrains!C21)</f>
        <v>-43405.440000000002</v>
      </c>
      <c r="F42" s="38">
        <v>-49433.51917138022</v>
      </c>
      <c r="G42" s="38">
        <v>-55402.648196799571</v>
      </c>
      <c r="H42" s="38">
        <v>-61345.027555382803</v>
      </c>
      <c r="I42" s="38">
        <v>-67291.117562972999</v>
      </c>
      <c r="J42" s="38">
        <v>-73269.874614524844</v>
      </c>
      <c r="K42" s="38">
        <v>-79308.968250704827</v>
      </c>
      <c r="W42" t="s">
        <v>658</v>
      </c>
      <c r="X42" s="14" cm="1">
        <f t="array" ref="X42:Y42">(1-X39:Y39)*X40:Y40</f>
        <v>1.7364285714285717</v>
      </c>
      <c r="Y42" s="14">
        <v>0.16500000000000004</v>
      </c>
      <c r="AA42">
        <f>X42/X40</f>
        <v>0.65</v>
      </c>
      <c r="AB42">
        <f>Y42/Y40</f>
        <v>0.15000000000000002</v>
      </c>
      <c r="AN42" s="6">
        <v>1</v>
      </c>
      <c r="AO42" s="6">
        <v>1</v>
      </c>
      <c r="AP42" s="6">
        <v>1</v>
      </c>
      <c r="AQ42" s="6">
        <v>1</v>
      </c>
      <c r="AR42" s="6">
        <v>1</v>
      </c>
      <c r="AS42" s="6">
        <v>1</v>
      </c>
      <c r="AT42" s="6">
        <v>1</v>
      </c>
    </row>
    <row r="43" spans="2:56" x14ac:dyDescent="0.35">
      <c r="B43" t="str">
        <v>HGV40</v>
      </c>
      <c r="C43" t="s">
        <v>234</v>
      </c>
      <c r="D43" t="s">
        <v>33</v>
      </c>
      <c r="E43" s="38">
        <v>-30334.080000000002</v>
      </c>
      <c r="F43" s="38">
        <v>-34901.247680768254</v>
      </c>
      <c r="G43" s="38">
        <v>-39411.244458902591</v>
      </c>
      <c r="H43" s="38">
        <v>-43889.030690063424</v>
      </c>
      <c r="I43" s="38">
        <v>-48358.161592942684</v>
      </c>
      <c r="J43" s="38">
        <v>-52840.972908423981</v>
      </c>
      <c r="K43" s="38">
        <v>-57358.751304658479</v>
      </c>
      <c r="W43" t="s">
        <v>663</v>
      </c>
      <c r="X43" s="14" cm="1">
        <f t="array" ref="X43:Y43">X40:Y40-_xlfn.ANCHORARRAY(X42)</f>
        <v>0.93500000000000005</v>
      </c>
      <c r="Y43" s="14">
        <v>0.93500000000000005</v>
      </c>
      <c r="AN43" s="6"/>
      <c r="AO43" s="6"/>
      <c r="AP43" s="6"/>
      <c r="AQ43" s="6"/>
      <c r="AR43" s="6"/>
      <c r="AS43" s="6"/>
      <c r="AT43" s="6"/>
    </row>
    <row r="44" spans="2:56" x14ac:dyDescent="0.35">
      <c r="B44" t="str">
        <v>MGV24</v>
      </c>
      <c r="C44" t="s">
        <v>234</v>
      </c>
      <c r="D44" t="s">
        <v>33</v>
      </c>
      <c r="E44" s="38">
        <v>-13994.880000000001</v>
      </c>
      <c r="F44" s="38">
        <v>-16735.908317503297</v>
      </c>
      <c r="G44" s="38">
        <v>-19421.989786531369</v>
      </c>
      <c r="H44" s="38">
        <v>-22069.034608414197</v>
      </c>
      <c r="I44" s="38">
        <v>-24691.966630404811</v>
      </c>
      <c r="J44" s="38">
        <v>-27304.845775797901</v>
      </c>
      <c r="K44" s="38">
        <v>-29920.980122100529</v>
      </c>
    </row>
    <row r="45" spans="2:56" x14ac:dyDescent="0.35">
      <c r="B45" t="str">
        <v>MGV16</v>
      </c>
      <c r="C45" t="s">
        <v>234</v>
      </c>
      <c r="D45" t="s">
        <v>33</v>
      </c>
      <c r="E45" s="38">
        <v>-4844.9279999999999</v>
      </c>
      <c r="F45" s="38">
        <v>-6563.3182740749171</v>
      </c>
      <c r="G45" s="38">
        <v>-8228.0071700034878</v>
      </c>
      <c r="H45" s="38">
        <v>-9849.8368026906301</v>
      </c>
      <c r="I45" s="38">
        <v>-11438.897451383598</v>
      </c>
      <c r="J45" s="38">
        <v>-13004.614581527294</v>
      </c>
      <c r="K45" s="38">
        <v>-14555.828259868074</v>
      </c>
      <c r="V45" t="s">
        <v>668</v>
      </c>
      <c r="W45" t="s">
        <v>660</v>
      </c>
      <c r="X45" s="9">
        <v>-0.01</v>
      </c>
      <c r="Y45" s="9"/>
    </row>
    <row r="46" spans="2:56" x14ac:dyDescent="0.35">
      <c r="B46" t="str" cm="1">
        <f t="array" ref="B46:B49">_xlfn.ANCHORARRAY(B38)</f>
        <v>HGV60</v>
      </c>
      <c r="C46" t="s">
        <v>235</v>
      </c>
      <c r="D46" t="s">
        <v>29</v>
      </c>
      <c r="E46" s="38" cm="1">
        <f t="array" ref="E46:K49">_xlfn.ANCHORARRAY(powertrains!C28)</f>
        <v>-5219.9999999999991</v>
      </c>
      <c r="F46" s="38">
        <v>-5219.9999999999991</v>
      </c>
      <c r="G46" s="38">
        <v>-5219.9999999999991</v>
      </c>
      <c r="H46" s="38">
        <v>-5219.9999999999991</v>
      </c>
      <c r="I46" s="38">
        <v>-5219.9999999999991</v>
      </c>
      <c r="J46" s="38">
        <v>-5219.9999999999991</v>
      </c>
      <c r="K46" s="38">
        <v>-5219.9999999999991</v>
      </c>
      <c r="W46" t="s">
        <v>661</v>
      </c>
      <c r="X46" s="126">
        <f>X45*X40</f>
        <v>-2.6714285714285718E-2</v>
      </c>
      <c r="Y46" s="9"/>
    </row>
    <row r="47" spans="2:56" x14ac:dyDescent="0.35">
      <c r="B47" t="str">
        <v>HGV40</v>
      </c>
      <c r="C47" t="s">
        <v>235</v>
      </c>
      <c r="D47" t="s">
        <v>29</v>
      </c>
      <c r="E47" s="38">
        <v>-3827.9999999999995</v>
      </c>
      <c r="F47" s="38">
        <v>-3827.9999999999995</v>
      </c>
      <c r="G47" s="38">
        <v>-3827.9999999999995</v>
      </c>
      <c r="H47" s="38">
        <v>-3827.9999999999995</v>
      </c>
      <c r="I47" s="38">
        <v>-3827.9999999999995</v>
      </c>
      <c r="J47" s="38">
        <v>-3827.9999999999995</v>
      </c>
      <c r="K47" s="38">
        <v>-3827.9999999999995</v>
      </c>
      <c r="W47" t="s">
        <v>662</v>
      </c>
      <c r="X47" s="126">
        <f>0.5*X46</f>
        <v>-1.3357142857142859E-2</v>
      </c>
      <c r="Y47" s="126"/>
    </row>
    <row r="48" spans="2:56" x14ac:dyDescent="0.35">
      <c r="B48" t="str">
        <v>MGV24</v>
      </c>
      <c r="C48" t="s">
        <v>235</v>
      </c>
      <c r="D48" t="s">
        <v>29</v>
      </c>
      <c r="E48" s="38">
        <v>-2087.9999999999995</v>
      </c>
      <c r="F48" s="38">
        <v>-2087.9999999999995</v>
      </c>
      <c r="G48" s="38">
        <v>-2087.9999999999995</v>
      </c>
      <c r="H48" s="38">
        <v>-2087.9999999999995</v>
      </c>
      <c r="I48" s="38">
        <v>-2087.9999999999995</v>
      </c>
      <c r="J48" s="38">
        <v>-2087.9999999999995</v>
      </c>
      <c r="K48" s="38">
        <v>-2087.9999999999995</v>
      </c>
      <c r="W48" t="s">
        <v>664</v>
      </c>
      <c r="X48" s="126">
        <f>X47</f>
        <v>-1.3357142857142859E-2</v>
      </c>
      <c r="Y48" s="126"/>
    </row>
    <row r="49" spans="1:28" x14ac:dyDescent="0.35">
      <c r="B49" t="str">
        <v>MGV16</v>
      </c>
      <c r="C49" t="s">
        <v>235</v>
      </c>
      <c r="D49" t="s">
        <v>29</v>
      </c>
      <c r="E49" s="38">
        <v>-1113.5999999999999</v>
      </c>
      <c r="F49" s="38">
        <v>-1113.5999999999999</v>
      </c>
      <c r="G49" s="38">
        <v>-1113.5999999999999</v>
      </c>
      <c r="H49" s="38">
        <v>-1113.5999999999999</v>
      </c>
      <c r="I49" s="38">
        <v>-1113.5999999999999</v>
      </c>
      <c r="J49" s="38">
        <v>-1113.5999999999999</v>
      </c>
      <c r="K49" s="38">
        <v>-1113.5999999999999</v>
      </c>
      <c r="W49" t="s">
        <v>665</v>
      </c>
      <c r="X49" s="241" cm="1">
        <f t="array" ref="X49:X50">X47:X48/X42:X43</f>
        <v>-7.6923076923076927E-3</v>
      </c>
      <c r="Y49" s="241"/>
    </row>
    <row r="50" spans="1:28" x14ac:dyDescent="0.35">
      <c r="W50" t="s">
        <v>666</v>
      </c>
      <c r="X50" s="242">
        <v>-1.4285714285714287E-2</v>
      </c>
    </row>
    <row r="52" spans="1:28" ht="15" thickBot="1" x14ac:dyDescent="0.4">
      <c r="A52" s="4" t="s">
        <v>80</v>
      </c>
      <c r="B52" s="4" t="s">
        <v>82</v>
      </c>
      <c r="C52" s="4" t="s">
        <v>81</v>
      </c>
      <c r="D52" s="4" t="s">
        <v>83</v>
      </c>
      <c r="E52" s="1">
        <v>2020</v>
      </c>
      <c r="F52" s="1">
        <v>2025</v>
      </c>
      <c r="G52" s="1">
        <v>2030</v>
      </c>
      <c r="H52" s="1">
        <v>2035</v>
      </c>
      <c r="I52" s="1">
        <v>2040</v>
      </c>
      <c r="J52" s="1">
        <v>2045</v>
      </c>
      <c r="K52" s="1">
        <v>2050</v>
      </c>
      <c r="V52" s="18" t="s">
        <v>667</v>
      </c>
      <c r="W52" s="18" t="str" cm="1">
        <f t="array" ref="W52:W53">W49:W50</f>
        <v>%/y, powertrain</v>
      </c>
      <c r="X52" s="42">
        <v>0</v>
      </c>
      <c r="Y52" s="242">
        <f>X49</f>
        <v>-7.6923076923076927E-3</v>
      </c>
      <c r="Z52" s="104"/>
      <c r="AA52" s="104"/>
      <c r="AB52" s="18"/>
    </row>
    <row r="53" spans="1:28" ht="15" thickTop="1" x14ac:dyDescent="0.35">
      <c r="A53" s="20" t="s">
        <v>17</v>
      </c>
      <c r="B53" s="20" t="str" cm="1">
        <f t="array" ref="B53:D76">B4:D27</f>
        <v>Common</v>
      </c>
      <c r="C53" s="20" t="str">
        <v>Annual distance</v>
      </c>
      <c r="D53" s="20" t="str">
        <v>km</v>
      </c>
      <c r="E53" s="28" cm="1">
        <f t="array" ref="E53:K76">E$4:E$27*_xlfn.ANCHORARRAY(AN19)</f>
        <v>90000</v>
      </c>
      <c r="F53" s="29">
        <v>90000</v>
      </c>
      <c r="G53" s="29">
        <v>90000</v>
      </c>
      <c r="H53" s="29">
        <v>90000</v>
      </c>
      <c r="I53" s="29">
        <v>90000</v>
      </c>
      <c r="J53" s="29">
        <v>90000</v>
      </c>
      <c r="K53" s="29">
        <v>90000</v>
      </c>
      <c r="V53" s="18"/>
      <c r="W53" s="18" t="str">
        <v>%/y, useful work</v>
      </c>
      <c r="X53" s="242">
        <f>X50</f>
        <v>-1.4285714285714287E-2</v>
      </c>
      <c r="Y53" s="242">
        <f>X53</f>
        <v>-1.4285714285714287E-2</v>
      </c>
      <c r="Z53" s="94"/>
      <c r="AA53" s="94"/>
      <c r="AB53" s="18"/>
    </row>
    <row r="54" spans="1:28" x14ac:dyDescent="0.35">
      <c r="A54" t="str">
        <f t="shared" ref="A54:A81" si="0">A53</f>
        <v>HGV60</v>
      </c>
      <c r="B54" t="str">
        <v>Common</v>
      </c>
      <c r="C54" t="str">
        <v>Utilization</v>
      </c>
      <c r="D54" t="str">
        <v>calendar days per year</v>
      </c>
      <c r="E54" s="29">
        <v>230</v>
      </c>
      <c r="F54" s="29">
        <v>230</v>
      </c>
      <c r="G54" s="29">
        <v>230</v>
      </c>
      <c r="H54" s="29">
        <v>230</v>
      </c>
      <c r="I54" s="29">
        <v>230</v>
      </c>
      <c r="J54" s="29">
        <v>230</v>
      </c>
      <c r="K54" s="29">
        <v>230</v>
      </c>
      <c r="V54" s="18"/>
      <c r="W54" s="18" t="str" cm="1">
        <f t="array" ref="W54:W55">W47:W48</f>
        <v>kWh/y, powertrain</v>
      </c>
      <c r="X54" s="243" cm="1">
        <f t="array" ref="X54:Y55">X52:Y53*X42:Y43</f>
        <v>0</v>
      </c>
      <c r="Y54" s="243">
        <v>-1.2692307692307697E-3</v>
      </c>
      <c r="Z54" s="94"/>
      <c r="AA54" s="94"/>
      <c r="AB54" s="18"/>
    </row>
    <row r="55" spans="1:28" x14ac:dyDescent="0.35">
      <c r="A55" t="str">
        <f t="shared" si="0"/>
        <v>HGV60</v>
      </c>
      <c r="B55" t="str">
        <v>Common</v>
      </c>
      <c r="C55" t="str">
        <v>Max time in transit</v>
      </c>
      <c r="D55" t="str">
        <v>h per day</v>
      </c>
      <c r="E55" s="29">
        <v>9</v>
      </c>
      <c r="F55" s="29">
        <v>9</v>
      </c>
      <c r="G55" s="29">
        <v>9</v>
      </c>
      <c r="H55" s="29">
        <v>9</v>
      </c>
      <c r="I55" s="29">
        <v>9</v>
      </c>
      <c r="J55" s="29">
        <v>9</v>
      </c>
      <c r="K55" s="29">
        <v>9</v>
      </c>
      <c r="V55" s="18"/>
      <c r="W55" s="18" t="str">
        <v>kWh/y, useful work</v>
      </c>
      <c r="X55" s="243">
        <v>-1.3357142857142859E-2</v>
      </c>
      <c r="Y55" s="243">
        <v>-1.3357142857142859E-2</v>
      </c>
      <c r="Z55" s="94"/>
      <c r="AA55" s="94"/>
      <c r="AB55" s="18"/>
    </row>
    <row r="56" spans="1:28" x14ac:dyDescent="0.35">
      <c r="A56" t="str">
        <f t="shared" si="0"/>
        <v>HGV60</v>
      </c>
      <c r="B56" t="str">
        <v>Common</v>
      </c>
      <c r="C56" t="str">
        <v>Max time in use</v>
      </c>
      <c r="D56" t="str">
        <v>h per day</v>
      </c>
      <c r="E56" s="29">
        <v>12</v>
      </c>
      <c r="F56" s="29">
        <v>12</v>
      </c>
      <c r="G56" s="29">
        <v>12</v>
      </c>
      <c r="H56" s="29">
        <v>12</v>
      </c>
      <c r="I56" s="29">
        <v>12</v>
      </c>
      <c r="J56" s="29">
        <v>12</v>
      </c>
      <c r="K56" s="29">
        <v>12</v>
      </c>
      <c r="V56" s="18"/>
      <c r="W56" s="18" t="str">
        <f>W46</f>
        <v>kWh/y, total</v>
      </c>
      <c r="X56" s="243">
        <f>SUM(X54:X55)</f>
        <v>-1.3357142857142859E-2</v>
      </c>
      <c r="Y56" s="243">
        <f>SUM(Y54:Y55)</f>
        <v>-1.4626373626373628E-2</v>
      </c>
      <c r="Z56" s="94"/>
      <c r="AA56" s="94"/>
      <c r="AB56" s="18"/>
    </row>
    <row r="57" spans="1:28" x14ac:dyDescent="0.35">
      <c r="A57" t="str">
        <f>A55</f>
        <v>HGV60</v>
      </c>
      <c r="B57" t="str">
        <v>Common</v>
      </c>
      <c r="C57" t="str">
        <v>Power, peak</v>
      </c>
      <c r="D57" t="str">
        <v>kW</v>
      </c>
      <c r="E57" s="30">
        <v>750</v>
      </c>
      <c r="F57" s="30">
        <v>750</v>
      </c>
      <c r="G57" s="30">
        <v>750</v>
      </c>
      <c r="H57" s="30">
        <v>750</v>
      </c>
      <c r="I57" s="30">
        <v>750</v>
      </c>
      <c r="J57" s="30">
        <v>750</v>
      </c>
      <c r="K57" s="30">
        <v>750</v>
      </c>
      <c r="V57" s="18"/>
      <c r="W57" s="18" t="str">
        <f>W45</f>
        <v>%/y, total</v>
      </c>
      <c r="X57" s="244" cm="1">
        <f t="array" ref="X57:Y57">X56:Y56/X40:Y40</f>
        <v>-5.0000000000000001E-3</v>
      </c>
      <c r="Y57" s="244">
        <v>-1.3296703296703297E-2</v>
      </c>
      <c r="Z57" s="95"/>
      <c r="AA57" s="95"/>
      <c r="AB57" s="18"/>
    </row>
    <row r="58" spans="1:28" x14ac:dyDescent="0.35">
      <c r="A58" t="str">
        <f t="shared" si="0"/>
        <v>HGV60</v>
      </c>
      <c r="B58" t="str">
        <v>Common</v>
      </c>
      <c r="C58" t="str">
        <v>Tyres</v>
      </c>
      <c r="D58" t="str">
        <v>euro per km</v>
      </c>
      <c r="E58" s="30">
        <v>0.11327999999999999</v>
      </c>
      <c r="F58" s="30">
        <v>0.11327999999999999</v>
      </c>
      <c r="G58" s="30">
        <v>0.11327999999999999</v>
      </c>
      <c r="H58" s="30">
        <v>0.11327999999999999</v>
      </c>
      <c r="I58" s="30">
        <v>0.11327999999999999</v>
      </c>
      <c r="J58" s="30">
        <v>0.11327999999999999</v>
      </c>
      <c r="K58" s="30">
        <v>0.11327999999999999</v>
      </c>
      <c r="V58" s="18"/>
      <c r="W58" s="18"/>
      <c r="X58" s="18"/>
      <c r="Y58" s="94"/>
      <c r="Z58" s="18"/>
      <c r="AA58" s="18"/>
      <c r="AB58" s="18"/>
    </row>
    <row r="59" spans="1:28" x14ac:dyDescent="0.35">
      <c r="A59" t="str">
        <f t="shared" si="0"/>
        <v>HGV60</v>
      </c>
      <c r="B59" t="str">
        <v>Common</v>
      </c>
      <c r="C59" t="str">
        <v>Cargo capacity value</v>
      </c>
      <c r="D59" t="str">
        <v>euro per ton-km</v>
      </c>
      <c r="E59" s="87">
        <v>2.5000000000000001E-2</v>
      </c>
      <c r="F59" s="87">
        <v>2.5000000000000001E-2</v>
      </c>
      <c r="G59" s="87">
        <v>2.5000000000000001E-2</v>
      </c>
      <c r="H59" s="87">
        <v>2.5000000000000001E-2</v>
      </c>
      <c r="I59" s="87">
        <v>2.5000000000000001E-2</v>
      </c>
      <c r="J59" s="87">
        <v>2.5000000000000001E-2</v>
      </c>
      <c r="K59" s="87">
        <v>2.5000000000000001E-2</v>
      </c>
      <c r="V59" s="105"/>
      <c r="W59" s="105"/>
      <c r="X59" s="18"/>
      <c r="Y59" s="94"/>
      <c r="Z59" s="18"/>
      <c r="AA59" s="18"/>
      <c r="AB59" s="18"/>
    </row>
    <row r="60" spans="1:28" x14ac:dyDescent="0.35">
      <c r="A60" t="str">
        <f t="shared" si="0"/>
        <v>HGV60</v>
      </c>
      <c r="B60" t="str">
        <v>Common</v>
      </c>
      <c r="C60" t="str">
        <v>Cargo capacity value</v>
      </c>
      <c r="D60" t="str">
        <v>euro per m3-km</v>
      </c>
      <c r="E60" s="87">
        <v>7.000000000000001E-3</v>
      </c>
      <c r="F60" s="87">
        <v>7.000000000000001E-3</v>
      </c>
      <c r="G60" s="87">
        <v>7.000000000000001E-3</v>
      </c>
      <c r="H60" s="87">
        <v>7.000000000000001E-3</v>
      </c>
      <c r="I60" s="87">
        <v>7.000000000000001E-3</v>
      </c>
      <c r="J60" s="87">
        <v>7.000000000000001E-3</v>
      </c>
      <c r="K60" s="87">
        <v>7.000000000000001E-3</v>
      </c>
      <c r="V60" s="105"/>
      <c r="W60" s="105"/>
      <c r="X60" s="102"/>
      <c r="Y60" s="102"/>
      <c r="Z60" s="102"/>
      <c r="AA60" s="102"/>
      <c r="AB60" s="18"/>
    </row>
    <row r="61" spans="1:28" x14ac:dyDescent="0.35">
      <c r="A61" t="str">
        <f t="shared" si="0"/>
        <v>HGV60</v>
      </c>
      <c r="B61" t="str">
        <v>Common</v>
      </c>
      <c r="C61" t="str">
        <v>Total weight limit</v>
      </c>
      <c r="D61" t="str">
        <v>kg</v>
      </c>
      <c r="E61" s="29">
        <v>60000</v>
      </c>
      <c r="F61" s="29">
        <v>60000</v>
      </c>
      <c r="G61" s="29">
        <v>60000</v>
      </c>
      <c r="H61" s="29">
        <v>60000</v>
      </c>
      <c r="I61" s="29">
        <v>60000</v>
      </c>
      <c r="J61" s="29">
        <v>60000</v>
      </c>
      <c r="K61" s="29">
        <v>60000</v>
      </c>
      <c r="V61" s="105"/>
      <c r="W61" s="105"/>
      <c r="X61" s="94"/>
      <c r="Y61" s="94"/>
      <c r="Z61" s="94"/>
      <c r="AA61" s="94"/>
      <c r="AB61" s="18"/>
    </row>
    <row r="62" spans="1:28" x14ac:dyDescent="0.35">
      <c r="A62" t="str">
        <f t="shared" si="0"/>
        <v>HGV60</v>
      </c>
      <c r="B62" t="str">
        <v>Common</v>
      </c>
      <c r="C62" t="str">
        <v>Depot stop</v>
      </c>
      <c r="D62" t="str">
        <v>h</v>
      </c>
      <c r="E62" s="29">
        <v>12</v>
      </c>
      <c r="F62" s="29">
        <v>12</v>
      </c>
      <c r="G62" s="29">
        <v>12</v>
      </c>
      <c r="H62" s="29">
        <v>12</v>
      </c>
      <c r="I62" s="29">
        <v>12</v>
      </c>
      <c r="J62" s="29">
        <v>12</v>
      </c>
      <c r="K62" s="29">
        <v>12</v>
      </c>
      <c r="V62" s="105"/>
      <c r="W62" s="105"/>
      <c r="X62" s="94"/>
      <c r="Y62" s="94"/>
      <c r="Z62" s="94"/>
      <c r="AA62" s="94"/>
      <c r="AB62" s="18"/>
    </row>
    <row r="63" spans="1:28" x14ac:dyDescent="0.35">
      <c r="A63" t="str">
        <f t="shared" si="0"/>
        <v>HGV60</v>
      </c>
      <c r="B63" t="str">
        <v>Common</v>
      </c>
      <c r="C63" t="str">
        <v>Destination stop</v>
      </c>
      <c r="D63" t="str">
        <v>h</v>
      </c>
      <c r="E63" s="133">
        <v>1</v>
      </c>
      <c r="F63" s="133">
        <v>1</v>
      </c>
      <c r="G63" s="133">
        <v>1</v>
      </c>
      <c r="H63" s="133">
        <v>1</v>
      </c>
      <c r="I63" s="133">
        <v>1</v>
      </c>
      <c r="J63" s="133">
        <v>1</v>
      </c>
      <c r="K63" s="133">
        <v>1</v>
      </c>
      <c r="V63" s="105"/>
      <c r="W63" s="105"/>
      <c r="X63" s="94"/>
      <c r="Y63" s="94"/>
      <c r="Z63" s="94"/>
      <c r="AA63" s="94"/>
      <c r="AB63" s="18"/>
    </row>
    <row r="64" spans="1:28" x14ac:dyDescent="0.35">
      <c r="A64" t="str">
        <f t="shared" si="0"/>
        <v>HGV60</v>
      </c>
      <c r="B64" t="str">
        <v>Common</v>
      </c>
      <c r="C64" t="str">
        <v>Rest stop</v>
      </c>
      <c r="D64" t="str">
        <v>h</v>
      </c>
      <c r="E64" s="133">
        <v>0.75</v>
      </c>
      <c r="F64" s="133">
        <v>0.75</v>
      </c>
      <c r="G64" s="133">
        <v>0.75</v>
      </c>
      <c r="H64" s="133">
        <v>0.75</v>
      </c>
      <c r="I64" s="133">
        <v>0.75</v>
      </c>
      <c r="J64" s="133">
        <v>0.75</v>
      </c>
      <c r="K64" s="133">
        <v>0.75</v>
      </c>
      <c r="V64" s="105"/>
      <c r="W64" s="105"/>
      <c r="X64" s="94"/>
      <c r="Y64" s="94"/>
      <c r="Z64" s="94"/>
      <c r="AA64" s="94"/>
      <c r="AB64" s="18"/>
    </row>
    <row r="65" spans="1:28" x14ac:dyDescent="0.35">
      <c r="A65" t="str">
        <f t="shared" si="0"/>
        <v>HGV60</v>
      </c>
      <c r="B65" t="str">
        <v>Common</v>
      </c>
      <c r="C65" t="str">
        <v>Drive session</v>
      </c>
      <c r="D65" t="str">
        <v>h</v>
      </c>
      <c r="E65" s="133">
        <v>4.5</v>
      </c>
      <c r="F65" s="133">
        <v>4.5</v>
      </c>
      <c r="G65" s="133">
        <v>4.5</v>
      </c>
      <c r="H65" s="133">
        <v>4.5</v>
      </c>
      <c r="I65" s="133">
        <v>4.5</v>
      </c>
      <c r="J65" s="133">
        <v>4.5</v>
      </c>
      <c r="K65" s="133">
        <v>4.5</v>
      </c>
      <c r="V65" s="105"/>
      <c r="W65" s="105"/>
      <c r="X65" s="94"/>
      <c r="Y65" s="94"/>
      <c r="Z65" s="94"/>
      <c r="AA65" s="94"/>
      <c r="AB65" s="18"/>
    </row>
    <row r="66" spans="1:28" x14ac:dyDescent="0.35">
      <c r="A66" s="24" t="str">
        <f t="shared" si="0"/>
        <v>HGV60</v>
      </c>
      <c r="B66" s="24" t="str">
        <v>Common</v>
      </c>
      <c r="C66" s="24" t="str">
        <v>Driver cost</v>
      </c>
      <c r="D66" s="24" t="str">
        <v>euro per h</v>
      </c>
      <c r="E66" s="32">
        <v>33.6</v>
      </c>
      <c r="F66" s="32">
        <v>33.6</v>
      </c>
      <c r="G66" s="32">
        <v>33.6</v>
      </c>
      <c r="H66" s="32">
        <v>33.6</v>
      </c>
      <c r="I66" s="32">
        <v>33.6</v>
      </c>
      <c r="J66" s="32">
        <v>33.6</v>
      </c>
      <c r="K66" s="32">
        <v>33.6</v>
      </c>
      <c r="V66" s="105"/>
      <c r="W66" s="105"/>
      <c r="X66" s="94"/>
      <c r="Y66" s="94"/>
      <c r="Z66" s="94"/>
      <c r="AA66" s="94"/>
      <c r="AB66" s="18"/>
    </row>
    <row r="67" spans="1:28" x14ac:dyDescent="0.35">
      <c r="A67" t="str">
        <f t="shared" si="0"/>
        <v>HGV60</v>
      </c>
      <c r="B67" t="str">
        <v>ICEV</v>
      </c>
      <c r="C67" t="str">
        <v>Chassis weight</v>
      </c>
      <c r="D67" t="str">
        <v>kg</v>
      </c>
      <c r="E67" s="107">
        <v>23000</v>
      </c>
      <c r="F67" s="107">
        <v>23000</v>
      </c>
      <c r="G67" s="107">
        <v>23000</v>
      </c>
      <c r="H67" s="107">
        <v>23000</v>
      </c>
      <c r="I67" s="107">
        <v>23000</v>
      </c>
      <c r="J67" s="107">
        <v>23000</v>
      </c>
      <c r="K67" s="107">
        <v>23000</v>
      </c>
      <c r="V67" s="105"/>
      <c r="W67" s="105"/>
      <c r="X67" s="18"/>
      <c r="Y67" s="18"/>
      <c r="Z67" s="18"/>
      <c r="AA67" s="18"/>
      <c r="AB67" s="18"/>
    </row>
    <row r="68" spans="1:28" x14ac:dyDescent="0.35">
      <c r="A68" t="str">
        <f t="shared" si="0"/>
        <v>HGV60</v>
      </c>
      <c r="B68" t="str">
        <v>ICEV</v>
      </c>
      <c r="C68" t="str">
        <v>Chassis cost, 2020</v>
      </c>
      <c r="D68" t="str">
        <v>euro</v>
      </c>
      <c r="E68" s="107">
        <v>259200</v>
      </c>
      <c r="F68" s="107">
        <v>259200</v>
      </c>
      <c r="G68" s="107">
        <v>259200</v>
      </c>
      <c r="H68" s="107">
        <v>259200</v>
      </c>
      <c r="I68" s="107">
        <v>259200</v>
      </c>
      <c r="J68" s="107">
        <v>259200</v>
      </c>
      <c r="K68" s="107">
        <v>259200</v>
      </c>
      <c r="V68" s="105"/>
      <c r="W68" s="105"/>
      <c r="X68" s="103"/>
      <c r="Y68" s="103"/>
      <c r="Z68" s="103"/>
      <c r="AA68" s="103"/>
      <c r="AB68" s="18"/>
    </row>
    <row r="69" spans="1:28" x14ac:dyDescent="0.35">
      <c r="A69" t="str">
        <f t="shared" si="0"/>
        <v>HGV60</v>
      </c>
      <c r="B69" t="str">
        <v>ICEV</v>
      </c>
      <c r="C69" t="str">
        <v>Lifetime</v>
      </c>
      <c r="D69" t="str">
        <v>years</v>
      </c>
      <c r="E69" s="29">
        <v>10</v>
      </c>
      <c r="F69" s="29">
        <v>10</v>
      </c>
      <c r="G69" s="29">
        <v>10</v>
      </c>
      <c r="H69" s="29">
        <v>10</v>
      </c>
      <c r="I69" s="29">
        <v>10</v>
      </c>
      <c r="J69" s="29">
        <v>10</v>
      </c>
      <c r="K69" s="29">
        <v>10</v>
      </c>
      <c r="V69" s="105"/>
      <c r="W69" s="105"/>
      <c r="X69" s="95"/>
      <c r="Y69" s="95"/>
      <c r="Z69" s="95"/>
      <c r="AA69" s="95"/>
      <c r="AB69" s="18"/>
    </row>
    <row r="70" spans="1:28" x14ac:dyDescent="0.35">
      <c r="A70" t="str">
        <f t="shared" si="0"/>
        <v>HGV60</v>
      </c>
      <c r="B70" t="str">
        <v>ICEV</v>
      </c>
      <c r="C70" t="str">
        <v>Maintenance cost</v>
      </c>
      <c r="D70" t="str">
        <v>euro per km</v>
      </c>
      <c r="E70" s="87">
        <v>9.9840000000000012E-2</v>
      </c>
      <c r="F70" s="87">
        <v>9.9840000000000012E-2</v>
      </c>
      <c r="G70" s="87">
        <v>9.9840000000000012E-2</v>
      </c>
      <c r="H70" s="87">
        <v>9.9840000000000012E-2</v>
      </c>
      <c r="I70" s="87">
        <v>9.9840000000000012E-2</v>
      </c>
      <c r="J70" s="87">
        <v>9.9840000000000012E-2</v>
      </c>
      <c r="K70" s="87">
        <v>9.9840000000000012E-2</v>
      </c>
      <c r="V70" s="105"/>
      <c r="W70" s="105"/>
      <c r="X70" s="95"/>
      <c r="Y70" s="95"/>
      <c r="Z70" s="95"/>
      <c r="AA70" s="95"/>
      <c r="AB70" s="18"/>
    </row>
    <row r="71" spans="1:28" x14ac:dyDescent="0.35">
      <c r="A71" t="str">
        <f t="shared" si="0"/>
        <v>HGV60</v>
      </c>
      <c r="B71" t="str">
        <v>ICEV</v>
      </c>
      <c r="C71" t="str">
        <v>Residual value at end of life</v>
      </c>
      <c r="D71" t="str">
        <v>ratio</v>
      </c>
      <c r="E71" s="87">
        <v>0.09</v>
      </c>
      <c r="F71" s="87">
        <v>0.09</v>
      </c>
      <c r="G71" s="87">
        <v>0.09</v>
      </c>
      <c r="H71" s="87">
        <v>0.09</v>
      </c>
      <c r="I71" s="87">
        <v>0.09</v>
      </c>
      <c r="J71" s="87">
        <v>0.09</v>
      </c>
      <c r="K71" s="87">
        <v>0.09</v>
      </c>
      <c r="V71" s="105"/>
      <c r="W71" s="105"/>
      <c r="X71" s="95"/>
      <c r="Y71" s="95"/>
      <c r="Z71" s="18"/>
      <c r="AA71" s="18"/>
      <c r="AB71" s="18"/>
    </row>
    <row r="72" spans="1:28" x14ac:dyDescent="0.35">
      <c r="A72" t="str">
        <f t="shared" si="0"/>
        <v>HGV60</v>
      </c>
      <c r="B72" t="str">
        <v>ICEV</v>
      </c>
      <c r="C72" t="str">
        <v>Fuel consumption</v>
      </c>
      <c r="D72" t="str">
        <v>liter per km</v>
      </c>
      <c r="E72" s="87">
        <v>0.35</v>
      </c>
      <c r="F72" s="87">
        <v>0.34133706359265625</v>
      </c>
      <c r="G72" s="87">
        <v>0.33288854566302017</v>
      </c>
      <c r="H72" s="87">
        <v>0.3246491390864148</v>
      </c>
      <c r="I72" s="87">
        <v>0.31661366809611619</v>
      </c>
      <c r="J72" s="87">
        <v>0.30877708503208051</v>
      </c>
      <c r="K72" s="87">
        <v>0.30113446717014369</v>
      </c>
      <c r="V72" s="18"/>
      <c r="W72" s="18"/>
      <c r="X72" s="18"/>
      <c r="Y72" s="18"/>
      <c r="Z72" s="18"/>
      <c r="AA72" s="18"/>
      <c r="AB72" s="18"/>
    </row>
    <row r="73" spans="1:28" x14ac:dyDescent="0.35">
      <c r="A73" s="22" t="str">
        <f t="shared" si="0"/>
        <v>HGV60</v>
      </c>
      <c r="B73" s="22" t="str">
        <v>BEV</v>
      </c>
      <c r="C73" s="22" t="str">
        <v>Maintenance cost</v>
      </c>
      <c r="D73" s="22" t="str">
        <v>euro per km</v>
      </c>
      <c r="E73" s="108">
        <v>3.9936000000000006E-2</v>
      </c>
      <c r="F73" s="108">
        <v>3.9936000000000006E-2</v>
      </c>
      <c r="G73" s="108">
        <v>3.9936000000000006E-2</v>
      </c>
      <c r="H73" s="108">
        <v>3.9936000000000006E-2</v>
      </c>
      <c r="I73" s="108">
        <v>3.9936000000000006E-2</v>
      </c>
      <c r="J73" s="108">
        <v>3.9936000000000006E-2</v>
      </c>
      <c r="K73" s="108">
        <v>3.9936000000000006E-2</v>
      </c>
      <c r="V73" s="18"/>
      <c r="W73" s="18"/>
      <c r="X73" s="18"/>
      <c r="Y73" s="18"/>
      <c r="Z73" s="18"/>
      <c r="AA73" s="18"/>
      <c r="AB73" s="18"/>
    </row>
    <row r="74" spans="1:28" x14ac:dyDescent="0.35">
      <c r="A74" t="str">
        <f>A71</f>
        <v>HGV60</v>
      </c>
      <c r="B74" t="str">
        <v>BEV</v>
      </c>
      <c r="C74" t="str">
        <v>Residual value at end of life</v>
      </c>
      <c r="D74" t="str">
        <v>ratio</v>
      </c>
      <c r="E74" s="71">
        <v>0.09</v>
      </c>
      <c r="F74" s="71">
        <v>0.09</v>
      </c>
      <c r="G74" s="71">
        <v>0.09</v>
      </c>
      <c r="H74" s="71">
        <v>0.09</v>
      </c>
      <c r="I74" s="71">
        <v>0.09</v>
      </c>
      <c r="J74" s="71">
        <v>0.09</v>
      </c>
      <c r="K74" s="71">
        <v>0.09</v>
      </c>
      <c r="V74" s="18"/>
      <c r="W74" s="18"/>
      <c r="X74" s="18"/>
      <c r="Y74" s="18"/>
      <c r="Z74" s="18"/>
      <c r="AA74" s="18"/>
      <c r="AB74" s="18"/>
    </row>
    <row r="75" spans="1:28" x14ac:dyDescent="0.35">
      <c r="A75" t="str">
        <f>A72</f>
        <v>HGV60</v>
      </c>
      <c r="B75" t="str">
        <v>BEV</v>
      </c>
      <c r="C75" t="str">
        <v>Energy consumption</v>
      </c>
      <c r="D75" t="str">
        <v>kWh per km</v>
      </c>
      <c r="E75" s="87">
        <v>1.4573061176470585</v>
      </c>
      <c r="F75" s="87">
        <v>1.4141084259707974</v>
      </c>
      <c r="G75" s="87">
        <v>1.3721912069032494</v>
      </c>
      <c r="H75" s="87">
        <v>1.3315165044787591</v>
      </c>
      <c r="I75" s="87">
        <v>1.2920474878282322</v>
      </c>
      <c r="J75" s="87">
        <v>1.2537484178288505</v>
      </c>
      <c r="K75" s="87">
        <v>1.2165846147423616</v>
      </c>
      <c r="V75" s="18"/>
      <c r="W75" s="18"/>
      <c r="X75" s="18"/>
      <c r="Y75" s="18"/>
      <c r="Z75" s="18"/>
      <c r="AA75" s="18"/>
      <c r="AB75" s="18"/>
    </row>
    <row r="76" spans="1:28" x14ac:dyDescent="0.35">
      <c r="A76" t="str">
        <f>A73</f>
        <v>HGV60</v>
      </c>
      <c r="B76" t="str">
        <v>BEV</v>
      </c>
      <c r="C76" t="str">
        <v>Min range buffer</v>
      </c>
      <c r="D76" t="str">
        <v>km</v>
      </c>
      <c r="E76" s="151">
        <v>50</v>
      </c>
      <c r="F76" s="151">
        <v>50</v>
      </c>
      <c r="G76" s="151">
        <v>50</v>
      </c>
      <c r="H76" s="151">
        <v>50</v>
      </c>
      <c r="I76" s="151">
        <v>50</v>
      </c>
      <c r="J76" s="151">
        <v>50</v>
      </c>
      <c r="K76" s="151">
        <v>50</v>
      </c>
      <c r="V76" s="18"/>
      <c r="W76" s="104"/>
      <c r="X76" s="104"/>
      <c r="Y76" s="104"/>
      <c r="Z76" s="104"/>
      <c r="AA76" s="18"/>
      <c r="AB76" s="18"/>
    </row>
    <row r="77" spans="1:28" x14ac:dyDescent="0.35">
      <c r="A77" t="str">
        <f t="shared" si="0"/>
        <v>HGV60</v>
      </c>
      <c r="B77" t="s">
        <v>30</v>
      </c>
      <c r="C77" t="s">
        <v>13</v>
      </c>
      <c r="D77" t="s">
        <v>4</v>
      </c>
      <c r="E77" s="29">
        <f>E$28</f>
        <v>10</v>
      </c>
      <c r="F77" s="29">
        <f>E$28+(E$29-E$28)/3</f>
        <v>11.666666666666666</v>
      </c>
      <c r="G77" s="29">
        <f>E$28+(E$29-E$28)*2/3</f>
        <v>13.333333333333334</v>
      </c>
      <c r="H77" s="29">
        <f>$E$29</f>
        <v>15</v>
      </c>
      <c r="I77" s="29">
        <f>$E$29</f>
        <v>15</v>
      </c>
      <c r="J77" s="29">
        <f>$E$29</f>
        <v>15</v>
      </c>
      <c r="K77" s="29">
        <f>$E$29</f>
        <v>15</v>
      </c>
      <c r="V77" s="18"/>
      <c r="W77" s="27"/>
      <c r="X77" s="18"/>
      <c r="Y77" s="18"/>
      <c r="Z77" s="18"/>
      <c r="AA77" s="18"/>
      <c r="AB77" s="18"/>
    </row>
    <row r="78" spans="1:28" x14ac:dyDescent="0.35">
      <c r="A78" t="str">
        <f t="shared" si="0"/>
        <v>HGV60</v>
      </c>
      <c r="B78" t="s">
        <v>40</v>
      </c>
      <c r="C78" t="s">
        <v>42</v>
      </c>
      <c r="D78" t="s">
        <v>33</v>
      </c>
      <c r="E78" s="107" cm="1">
        <f t="array" ref="E78:K78">E68:K68+E$38:K$38</f>
        <v>259200</v>
      </c>
      <c r="F78" s="107">
        <v>262736.7838640855</v>
      </c>
      <c r="G78" s="107">
        <v>266453.97925027087</v>
      </c>
      <c r="H78" s="107">
        <v>270360.78895933705</v>
      </c>
      <c r="I78" s="107">
        <v>274466.88522739388</v>
      </c>
      <c r="J78" s="107">
        <v>278782.43367179972</v>
      </c>
      <c r="K78" s="107">
        <v>283318.11845856369</v>
      </c>
      <c r="L78" s="126" cm="1">
        <f t="array" ref="L78:R78">_xlfn.ANCHORARRAY(E78)/(E69:K69*E53:K53)+E58:K58+E70:K70</f>
        <v>0.50112000000000001</v>
      </c>
      <c r="M78" s="126">
        <v>0.50504975984898393</v>
      </c>
      <c r="N78" s="150">
        <v>0.50917997694474537</v>
      </c>
      <c r="O78" s="150">
        <v>0.5135208766214856</v>
      </c>
      <c r="P78" s="150">
        <v>0.51808320580821543</v>
      </c>
      <c r="Q78" s="150">
        <v>0.52287825963533308</v>
      </c>
      <c r="R78" s="150">
        <v>0.52791790939840411</v>
      </c>
      <c r="S78" s="34"/>
      <c r="T78" s="34"/>
      <c r="V78" s="18"/>
      <c r="W78" s="27"/>
      <c r="X78" s="27"/>
      <c r="Y78" s="27"/>
      <c r="Z78" s="27"/>
      <c r="AA78" s="18"/>
      <c r="AB78" s="18"/>
    </row>
    <row r="79" spans="1:28" x14ac:dyDescent="0.35">
      <c r="A79" t="str">
        <f t="shared" si="0"/>
        <v>HGV60</v>
      </c>
      <c r="B79" t="s">
        <v>30</v>
      </c>
      <c r="C79" t="s">
        <v>31</v>
      </c>
      <c r="D79" t="s">
        <v>29</v>
      </c>
      <c r="E79" s="29" cm="1">
        <f t="array" ref="E79:K79">E67:K67+E$46:K$46</f>
        <v>17780</v>
      </c>
      <c r="F79" s="29">
        <v>17780</v>
      </c>
      <c r="G79" s="29">
        <v>17780</v>
      </c>
      <c r="H79" s="29">
        <v>17780</v>
      </c>
      <c r="I79" s="29">
        <v>17780</v>
      </c>
      <c r="J79" s="29">
        <v>17780</v>
      </c>
      <c r="K79" s="29">
        <v>17780</v>
      </c>
      <c r="N79" s="34"/>
      <c r="O79" s="34"/>
      <c r="P79" s="34"/>
      <c r="Q79" s="34"/>
      <c r="R79" s="34"/>
      <c r="S79" s="34"/>
      <c r="T79" s="34"/>
      <c r="V79" s="18"/>
      <c r="W79" s="106"/>
      <c r="X79" s="106"/>
      <c r="Y79" s="106"/>
      <c r="Z79" s="106"/>
      <c r="AA79" s="18"/>
      <c r="AB79" s="18"/>
    </row>
    <row r="80" spans="1:28" x14ac:dyDescent="0.35">
      <c r="A80" t="str">
        <f t="shared" si="0"/>
        <v>HGV60</v>
      </c>
      <c r="B80" t="s">
        <v>30</v>
      </c>
      <c r="C80" t="s">
        <v>32</v>
      </c>
      <c r="D80" t="s">
        <v>33</v>
      </c>
      <c r="E80" s="29" cm="1">
        <f t="array" ref="E80:K80">_xlfn.ANCHORARRAY(E78)+E$42:K$42</f>
        <v>215794.56</v>
      </c>
      <c r="F80" s="29">
        <v>213303.2646927053</v>
      </c>
      <c r="G80" s="29">
        <v>211051.33105347131</v>
      </c>
      <c r="H80" s="29">
        <v>209015.76140395424</v>
      </c>
      <c r="I80" s="29">
        <v>207175.76766442088</v>
      </c>
      <c r="J80" s="29">
        <v>205512.55905727489</v>
      </c>
      <c r="K80" s="29">
        <v>204009.15020785888</v>
      </c>
      <c r="L80" s="126" cm="1">
        <f t="array" ref="L80:R80">_xlfn.ANCHORARRAY(E80)/(E75:K75*E53:K53)+E58:K58+E73:K73</f>
        <v>1.7985239447746002</v>
      </c>
      <c r="M80" s="126">
        <v>1.8292093190669889</v>
      </c>
      <c r="N80" s="149">
        <v>1.8621722866207444</v>
      </c>
      <c r="O80" s="149">
        <v>1.8973906618394039</v>
      </c>
      <c r="P80" s="149">
        <v>1.9348478639482916</v>
      </c>
      <c r="Q80" s="149">
        <v>1.9745326580648741</v>
      </c>
      <c r="R80" s="149">
        <v>2.016438917809884</v>
      </c>
      <c r="S80" s="34"/>
      <c r="T80" s="34"/>
      <c r="V80" s="18"/>
      <c r="W80" s="106"/>
      <c r="X80" s="106"/>
      <c r="Y80" s="106"/>
      <c r="Z80" s="106"/>
      <c r="AA80" s="18"/>
      <c r="AB80" s="18"/>
    </row>
    <row r="81" spans="1:28" x14ac:dyDescent="0.35">
      <c r="A81" t="str">
        <f t="shared" si="0"/>
        <v>HGV60</v>
      </c>
      <c r="B81" t="s">
        <v>30</v>
      </c>
      <c r="C81" t="s">
        <v>312</v>
      </c>
      <c r="D81" t="s">
        <v>49</v>
      </c>
      <c r="E81" s="29" cm="1">
        <f t="array" ref="E81:K81">E57:K57/batteries!E$20:K$20</f>
        <v>216.66666666666669</v>
      </c>
      <c r="F81" s="29">
        <v>226.02995435882167</v>
      </c>
      <c r="G81" s="29">
        <v>205.48410135118033</v>
      </c>
      <c r="H81" s="29">
        <v>176.99056023985628</v>
      </c>
      <c r="I81" s="29">
        <v>148.80116058437957</v>
      </c>
      <c r="J81" s="29">
        <v>123.67132074310364</v>
      </c>
      <c r="K81" s="29">
        <v>102.21085008598016</v>
      </c>
      <c r="N81" s="34"/>
      <c r="O81" s="34"/>
      <c r="P81" s="34"/>
      <c r="Q81" s="34"/>
      <c r="R81" s="34"/>
      <c r="S81" s="34"/>
      <c r="T81" s="34"/>
      <c r="V81" s="18"/>
      <c r="W81" s="106"/>
      <c r="X81" s="106"/>
      <c r="Y81" s="106"/>
      <c r="Z81" s="106"/>
      <c r="AA81" s="18"/>
      <c r="AB81" s="18"/>
    </row>
    <row r="83" spans="1:28" ht="15" thickBot="1" x14ac:dyDescent="0.4">
      <c r="A83" s="1" t="str" cm="1">
        <f t="array" ref="A83:D83">A52:D52</f>
        <v>group</v>
      </c>
      <c r="B83" s="1" t="str">
        <v>subgroup</v>
      </c>
      <c r="C83" s="1" t="str">
        <v>variable</v>
      </c>
      <c r="D83" s="1" t="str">
        <v>unit</v>
      </c>
      <c r="E83" s="1">
        <v>2020</v>
      </c>
      <c r="F83" s="1">
        <v>2025</v>
      </c>
      <c r="G83" s="1">
        <v>2030</v>
      </c>
      <c r="H83" s="1">
        <v>2035</v>
      </c>
      <c r="I83" s="1">
        <v>2040</v>
      </c>
      <c r="J83" s="1">
        <v>2045</v>
      </c>
      <c r="K83" s="1">
        <v>2050</v>
      </c>
    </row>
    <row r="84" spans="1:28" ht="15" thickTop="1" x14ac:dyDescent="0.35">
      <c r="A84" s="20" t="s">
        <v>18</v>
      </c>
      <c r="B84" s="20" t="str" cm="1">
        <f t="array" ref="B84:D111">B53:D80</f>
        <v>Common</v>
      </c>
      <c r="C84" s="20" t="str">
        <v>Annual distance</v>
      </c>
      <c r="D84" s="20" t="str">
        <v>km</v>
      </c>
      <c r="E84" s="28" cm="1">
        <f t="array" ref="E84:K107">F$4:F$27*_xlfn.ANCHORARRAY(AN19)</f>
        <v>115000</v>
      </c>
      <c r="F84" s="29">
        <v>115000</v>
      </c>
      <c r="G84" s="29">
        <v>115000</v>
      </c>
      <c r="H84" s="29">
        <v>115000</v>
      </c>
      <c r="I84" s="29">
        <v>115000</v>
      </c>
      <c r="J84" s="29">
        <v>115000</v>
      </c>
      <c r="K84" s="29">
        <v>115000</v>
      </c>
    </row>
    <row r="85" spans="1:28" x14ac:dyDescent="0.35">
      <c r="A85" t="str">
        <f t="shared" ref="A85:A104" si="1">A84</f>
        <v>HGV40</v>
      </c>
      <c r="B85" t="str">
        <v>Common</v>
      </c>
      <c r="C85" t="str">
        <v>Utilization</v>
      </c>
      <c r="D85" t="str">
        <v>calendar days per year</v>
      </c>
      <c r="E85" s="29">
        <v>230</v>
      </c>
      <c r="F85" s="29">
        <v>230</v>
      </c>
      <c r="G85" s="29">
        <v>230</v>
      </c>
      <c r="H85" s="29">
        <v>230</v>
      </c>
      <c r="I85" s="29">
        <v>230</v>
      </c>
      <c r="J85" s="29">
        <v>230</v>
      </c>
      <c r="K85" s="29">
        <v>230</v>
      </c>
    </row>
    <row r="86" spans="1:28" x14ac:dyDescent="0.35">
      <c r="A86" t="str">
        <f t="shared" si="1"/>
        <v>HGV40</v>
      </c>
      <c r="B86" t="str">
        <v>Common</v>
      </c>
      <c r="C86" t="str">
        <v>Max time in transit</v>
      </c>
      <c r="D86" t="str">
        <v>h per day</v>
      </c>
      <c r="E86" s="29">
        <v>11</v>
      </c>
      <c r="F86" s="29">
        <v>11</v>
      </c>
      <c r="G86" s="29">
        <v>11</v>
      </c>
      <c r="H86" s="29">
        <v>11</v>
      </c>
      <c r="I86" s="29">
        <v>11</v>
      </c>
      <c r="J86" s="29">
        <v>11</v>
      </c>
      <c r="K86" s="29">
        <v>11</v>
      </c>
    </row>
    <row r="87" spans="1:28" x14ac:dyDescent="0.35">
      <c r="A87" t="str">
        <f t="shared" si="1"/>
        <v>HGV40</v>
      </c>
      <c r="B87" t="str">
        <v>Common</v>
      </c>
      <c r="C87" t="str">
        <v>Max time in use</v>
      </c>
      <c r="D87" t="str">
        <v>h per day</v>
      </c>
      <c r="E87" s="29">
        <v>15</v>
      </c>
      <c r="F87" s="29">
        <v>15</v>
      </c>
      <c r="G87" s="29">
        <v>15</v>
      </c>
      <c r="H87" s="29">
        <v>15</v>
      </c>
      <c r="I87" s="29">
        <v>15</v>
      </c>
      <c r="J87" s="29">
        <v>15</v>
      </c>
      <c r="K87" s="29">
        <v>15</v>
      </c>
    </row>
    <row r="88" spans="1:28" x14ac:dyDescent="0.35">
      <c r="A88" t="str">
        <f>A86</f>
        <v>HGV40</v>
      </c>
      <c r="B88" t="str">
        <v>Common</v>
      </c>
      <c r="C88" t="str">
        <v>Power, peak</v>
      </c>
      <c r="D88" t="str">
        <v>kW</v>
      </c>
      <c r="E88" s="30">
        <v>550</v>
      </c>
      <c r="F88" s="30">
        <v>550</v>
      </c>
      <c r="G88" s="30">
        <v>550</v>
      </c>
      <c r="H88" s="30">
        <v>550</v>
      </c>
      <c r="I88" s="30">
        <v>550</v>
      </c>
      <c r="J88" s="30">
        <v>550</v>
      </c>
      <c r="K88" s="30">
        <v>550</v>
      </c>
    </row>
    <row r="89" spans="1:28" x14ac:dyDescent="0.35">
      <c r="A89" t="str">
        <f t="shared" si="1"/>
        <v>HGV40</v>
      </c>
      <c r="B89" t="str">
        <v>Common</v>
      </c>
      <c r="C89" t="str">
        <v>Tyres</v>
      </c>
      <c r="D89" t="str">
        <v>euro per km</v>
      </c>
      <c r="E89" s="30">
        <v>9.0240000000000001E-2</v>
      </c>
      <c r="F89" s="30">
        <v>9.0240000000000001E-2</v>
      </c>
      <c r="G89" s="30">
        <v>9.0240000000000001E-2</v>
      </c>
      <c r="H89" s="30">
        <v>9.0240000000000001E-2</v>
      </c>
      <c r="I89" s="30">
        <v>9.0240000000000001E-2</v>
      </c>
      <c r="J89" s="30">
        <v>9.0240000000000001E-2</v>
      </c>
      <c r="K89" s="30">
        <v>9.0240000000000001E-2</v>
      </c>
    </row>
    <row r="90" spans="1:28" x14ac:dyDescent="0.35">
      <c r="A90" t="str">
        <f t="shared" si="1"/>
        <v>HGV40</v>
      </c>
      <c r="B90" t="str">
        <v>Common</v>
      </c>
      <c r="C90" t="str">
        <v>Cargo capacity value</v>
      </c>
      <c r="D90" t="str">
        <v>euro per ton-km</v>
      </c>
      <c r="E90" s="87">
        <v>2.5000000000000001E-2</v>
      </c>
      <c r="F90" s="87">
        <v>2.5000000000000001E-2</v>
      </c>
      <c r="G90" s="87">
        <v>2.5000000000000001E-2</v>
      </c>
      <c r="H90" s="87">
        <v>2.5000000000000001E-2</v>
      </c>
      <c r="I90" s="87">
        <v>2.5000000000000001E-2</v>
      </c>
      <c r="J90" s="87">
        <v>2.5000000000000001E-2</v>
      </c>
      <c r="K90" s="87">
        <v>2.5000000000000001E-2</v>
      </c>
    </row>
    <row r="91" spans="1:28" x14ac:dyDescent="0.35">
      <c r="A91" t="str">
        <f t="shared" si="1"/>
        <v>HGV40</v>
      </c>
      <c r="B91" t="str">
        <v>Common</v>
      </c>
      <c r="C91" t="str">
        <v>Cargo capacity value</v>
      </c>
      <c r="D91" t="str">
        <v>euro per m3-km</v>
      </c>
      <c r="E91" s="87">
        <v>7.000000000000001E-3</v>
      </c>
      <c r="F91" s="87">
        <v>7.000000000000001E-3</v>
      </c>
      <c r="G91" s="87">
        <v>7.000000000000001E-3</v>
      </c>
      <c r="H91" s="87">
        <v>7.000000000000001E-3</v>
      </c>
      <c r="I91" s="87">
        <v>7.000000000000001E-3</v>
      </c>
      <c r="J91" s="87">
        <v>7.000000000000001E-3</v>
      </c>
      <c r="K91" s="87">
        <v>7.000000000000001E-3</v>
      </c>
    </row>
    <row r="92" spans="1:28" x14ac:dyDescent="0.35">
      <c r="A92" t="str">
        <f t="shared" si="1"/>
        <v>HGV40</v>
      </c>
      <c r="B92" t="str">
        <v>Common</v>
      </c>
      <c r="C92" t="str">
        <v>Total weight limit</v>
      </c>
      <c r="D92" t="str">
        <v>kg</v>
      </c>
      <c r="E92" s="29">
        <v>40000</v>
      </c>
      <c r="F92" s="29">
        <v>40000</v>
      </c>
      <c r="G92" s="29">
        <v>40000</v>
      </c>
      <c r="H92" s="29">
        <v>40000</v>
      </c>
      <c r="I92" s="29">
        <v>40000</v>
      </c>
      <c r="J92" s="29">
        <v>40000</v>
      </c>
      <c r="K92" s="29">
        <v>40000</v>
      </c>
    </row>
    <row r="93" spans="1:28" x14ac:dyDescent="0.35">
      <c r="A93" t="str">
        <f t="shared" si="1"/>
        <v>HGV40</v>
      </c>
      <c r="B93" t="str">
        <v>Common</v>
      </c>
      <c r="C93" t="str">
        <v>Depot stop</v>
      </c>
      <c r="D93" t="str">
        <v>h</v>
      </c>
      <c r="E93" s="29">
        <v>9</v>
      </c>
      <c r="F93" s="29">
        <v>9</v>
      </c>
      <c r="G93" s="29">
        <v>9</v>
      </c>
      <c r="H93" s="29">
        <v>9</v>
      </c>
      <c r="I93" s="29">
        <v>9</v>
      </c>
      <c r="J93" s="29">
        <v>9</v>
      </c>
      <c r="K93" s="29">
        <v>9</v>
      </c>
    </row>
    <row r="94" spans="1:28" x14ac:dyDescent="0.35">
      <c r="A94" t="str">
        <f t="shared" si="1"/>
        <v>HGV40</v>
      </c>
      <c r="B94" t="str">
        <v>Common</v>
      </c>
      <c r="C94" t="str">
        <v>Destination stop</v>
      </c>
      <c r="D94" t="str">
        <v>h</v>
      </c>
      <c r="E94" s="133">
        <v>1</v>
      </c>
      <c r="F94" s="133">
        <v>1</v>
      </c>
      <c r="G94" s="133">
        <v>1</v>
      </c>
      <c r="H94" s="133">
        <v>1</v>
      </c>
      <c r="I94" s="133">
        <v>1</v>
      </c>
      <c r="J94" s="133">
        <v>1</v>
      </c>
      <c r="K94" s="133">
        <v>1</v>
      </c>
    </row>
    <row r="95" spans="1:28" x14ac:dyDescent="0.35">
      <c r="A95" t="str">
        <f t="shared" si="1"/>
        <v>HGV40</v>
      </c>
      <c r="B95" t="str">
        <v>Common</v>
      </c>
      <c r="C95" t="str">
        <v>Rest stop</v>
      </c>
      <c r="D95" t="str">
        <v>h</v>
      </c>
      <c r="E95" s="133">
        <v>0.75</v>
      </c>
      <c r="F95" s="133">
        <v>0.75</v>
      </c>
      <c r="G95" s="133">
        <v>0.75</v>
      </c>
      <c r="H95" s="133">
        <v>0.75</v>
      </c>
      <c r="I95" s="133">
        <v>0.75</v>
      </c>
      <c r="J95" s="133">
        <v>0.75</v>
      </c>
      <c r="K95" s="133">
        <v>0.75</v>
      </c>
    </row>
    <row r="96" spans="1:28" x14ac:dyDescent="0.35">
      <c r="A96" t="str">
        <f t="shared" si="1"/>
        <v>HGV40</v>
      </c>
      <c r="B96" t="str">
        <v>Common</v>
      </c>
      <c r="C96" t="str">
        <v>Drive session</v>
      </c>
      <c r="D96" t="str">
        <v>h</v>
      </c>
      <c r="E96" s="133">
        <v>4.5</v>
      </c>
      <c r="F96" s="133">
        <v>4.5</v>
      </c>
      <c r="G96" s="133">
        <v>4.5</v>
      </c>
      <c r="H96" s="133">
        <v>4.5</v>
      </c>
      <c r="I96" s="133">
        <v>4.5</v>
      </c>
      <c r="J96" s="133">
        <v>4.5</v>
      </c>
      <c r="K96" s="133">
        <v>4.5</v>
      </c>
    </row>
    <row r="97" spans="1:11" x14ac:dyDescent="0.35">
      <c r="A97" s="24" t="str">
        <f t="shared" si="1"/>
        <v>HGV40</v>
      </c>
      <c r="B97" s="24" t="str">
        <v>Common</v>
      </c>
      <c r="C97" s="24" t="str">
        <v>Driver cost</v>
      </c>
      <c r="D97" s="24" t="str">
        <v>euro per h</v>
      </c>
      <c r="E97" s="32">
        <v>33.6</v>
      </c>
      <c r="F97" s="32">
        <v>33.6</v>
      </c>
      <c r="G97" s="32">
        <v>33.6</v>
      </c>
      <c r="H97" s="32">
        <v>33.6</v>
      </c>
      <c r="I97" s="32">
        <v>33.6</v>
      </c>
      <c r="J97" s="32">
        <v>33.6</v>
      </c>
      <c r="K97" s="32">
        <v>33.6</v>
      </c>
    </row>
    <row r="98" spans="1:11" x14ac:dyDescent="0.35">
      <c r="A98" t="str">
        <f t="shared" si="1"/>
        <v>HGV40</v>
      </c>
      <c r="B98" t="str">
        <v>ICEV</v>
      </c>
      <c r="C98" t="str">
        <v>Chassis weight</v>
      </c>
      <c r="D98" t="str">
        <v>kg</v>
      </c>
      <c r="E98" s="107">
        <v>20000</v>
      </c>
      <c r="F98" s="107">
        <v>20000</v>
      </c>
      <c r="G98" s="107">
        <v>20000</v>
      </c>
      <c r="H98" s="107">
        <v>20000</v>
      </c>
      <c r="I98" s="107">
        <v>20000</v>
      </c>
      <c r="J98" s="107">
        <v>20000</v>
      </c>
      <c r="K98" s="107">
        <v>20000</v>
      </c>
    </row>
    <row r="99" spans="1:11" x14ac:dyDescent="0.35">
      <c r="A99" t="str">
        <f t="shared" si="1"/>
        <v>HGV40</v>
      </c>
      <c r="B99" t="str">
        <v>ICEV</v>
      </c>
      <c r="C99" t="str">
        <v>Chassis cost, 2020</v>
      </c>
      <c r="D99" t="str">
        <v>euro</v>
      </c>
      <c r="E99" s="107">
        <v>235200</v>
      </c>
      <c r="F99" s="107">
        <v>235200</v>
      </c>
      <c r="G99" s="107">
        <v>235200</v>
      </c>
      <c r="H99" s="107">
        <v>235200</v>
      </c>
      <c r="I99" s="107">
        <v>235200</v>
      </c>
      <c r="J99" s="107">
        <v>235200</v>
      </c>
      <c r="K99" s="107">
        <v>235200</v>
      </c>
    </row>
    <row r="100" spans="1:11" x14ac:dyDescent="0.35">
      <c r="A100" t="str">
        <f t="shared" si="1"/>
        <v>HGV40</v>
      </c>
      <c r="B100" t="str">
        <v>ICEV</v>
      </c>
      <c r="C100" t="str">
        <v>Lifetime</v>
      </c>
      <c r="D100" t="str">
        <v>years</v>
      </c>
      <c r="E100" s="29">
        <v>10</v>
      </c>
      <c r="F100" s="29">
        <v>10</v>
      </c>
      <c r="G100" s="29">
        <v>10</v>
      </c>
      <c r="H100" s="29">
        <v>10</v>
      </c>
      <c r="I100" s="29">
        <v>10</v>
      </c>
      <c r="J100" s="29">
        <v>10</v>
      </c>
      <c r="K100" s="29">
        <v>10</v>
      </c>
    </row>
    <row r="101" spans="1:11" x14ac:dyDescent="0.35">
      <c r="A101" t="str">
        <f t="shared" si="1"/>
        <v>HGV40</v>
      </c>
      <c r="B101" t="str">
        <v>ICEV</v>
      </c>
      <c r="C101" t="str">
        <v>Maintenance cost</v>
      </c>
      <c r="D101" t="str">
        <v>euro per km</v>
      </c>
      <c r="E101" s="87">
        <v>0.11423999999999999</v>
      </c>
      <c r="F101" s="87">
        <v>0.11423999999999999</v>
      </c>
      <c r="G101" s="87">
        <v>0.11423999999999999</v>
      </c>
      <c r="H101" s="87">
        <v>0.11423999999999999</v>
      </c>
      <c r="I101" s="87">
        <v>0.11423999999999999</v>
      </c>
      <c r="J101" s="87">
        <v>0.11423999999999999</v>
      </c>
      <c r="K101" s="87">
        <v>0.11423999999999999</v>
      </c>
    </row>
    <row r="102" spans="1:11" x14ac:dyDescent="0.35">
      <c r="A102" t="str">
        <f t="shared" si="1"/>
        <v>HGV40</v>
      </c>
      <c r="B102" t="str">
        <v>ICEV</v>
      </c>
      <c r="C102" t="str">
        <v>Residual value at end of life</v>
      </c>
      <c r="D102" t="str">
        <v>ratio</v>
      </c>
      <c r="E102" s="87">
        <v>0.09</v>
      </c>
      <c r="F102" s="87">
        <v>0.09</v>
      </c>
      <c r="G102" s="87">
        <v>0.09</v>
      </c>
      <c r="H102" s="87">
        <v>0.09</v>
      </c>
      <c r="I102" s="87">
        <v>0.09</v>
      </c>
      <c r="J102" s="87">
        <v>0.09</v>
      </c>
      <c r="K102" s="87">
        <v>0.09</v>
      </c>
    </row>
    <row r="103" spans="1:11" x14ac:dyDescent="0.35">
      <c r="A103" t="str">
        <f t="shared" si="1"/>
        <v>HGV40</v>
      </c>
      <c r="B103" t="str">
        <v>ICEV</v>
      </c>
      <c r="C103" t="str">
        <v>Fuel consumption</v>
      </c>
      <c r="D103" t="str">
        <v>liter per km</v>
      </c>
      <c r="E103" s="87">
        <v>0.27</v>
      </c>
      <c r="F103" s="87">
        <v>0.26331716334290628</v>
      </c>
      <c r="G103" s="87">
        <v>0.25679973522575844</v>
      </c>
      <c r="H103" s="87">
        <v>0.25044362158094857</v>
      </c>
      <c r="I103" s="87">
        <v>0.24424482967414682</v>
      </c>
      <c r="J103" s="87">
        <v>0.23819946559617644</v>
      </c>
      <c r="K103" s="87">
        <v>0.23230373181696803</v>
      </c>
    </row>
    <row r="104" spans="1:11" x14ac:dyDescent="0.35">
      <c r="A104" s="22" t="str">
        <f t="shared" si="1"/>
        <v>HGV40</v>
      </c>
      <c r="B104" s="22" t="str">
        <v>BEV</v>
      </c>
      <c r="C104" s="22" t="str">
        <v>Maintenance cost</v>
      </c>
      <c r="D104" s="22" t="str">
        <v>euro per km</v>
      </c>
      <c r="E104" s="108">
        <v>4.5696000000000001E-2</v>
      </c>
      <c r="F104" s="108">
        <v>4.5696000000000001E-2</v>
      </c>
      <c r="G104" s="108">
        <v>4.5696000000000001E-2</v>
      </c>
      <c r="H104" s="108">
        <v>4.5696000000000001E-2</v>
      </c>
      <c r="I104" s="108">
        <v>4.5696000000000001E-2</v>
      </c>
      <c r="J104" s="108">
        <v>4.5696000000000001E-2</v>
      </c>
      <c r="K104" s="108">
        <v>4.5696000000000001E-2</v>
      </c>
    </row>
    <row r="105" spans="1:11" x14ac:dyDescent="0.35">
      <c r="A105" t="str">
        <f t="shared" ref="A105:A112" si="2">A102</f>
        <v>HGV40</v>
      </c>
      <c r="B105" t="str">
        <v>BEV</v>
      </c>
      <c r="C105" t="str">
        <v>Residual value at end of life</v>
      </c>
      <c r="D105" t="str">
        <v>ratio</v>
      </c>
      <c r="E105" s="71">
        <v>0.09</v>
      </c>
      <c r="F105" s="71">
        <v>0.09</v>
      </c>
      <c r="G105" s="71">
        <v>0.09</v>
      </c>
      <c r="H105" s="71">
        <v>0.09</v>
      </c>
      <c r="I105" s="71">
        <v>0.09</v>
      </c>
      <c r="J105" s="71">
        <v>0.09</v>
      </c>
      <c r="K105" s="71">
        <v>0.09</v>
      </c>
    </row>
    <row r="106" spans="1:11" x14ac:dyDescent="0.35">
      <c r="A106" t="str">
        <f t="shared" si="2"/>
        <v>HGV40</v>
      </c>
      <c r="B106" t="str">
        <v>BEV</v>
      </c>
      <c r="C106" t="str">
        <v>Energy consumption</v>
      </c>
      <c r="D106" t="str">
        <v>kWh per km</v>
      </c>
      <c r="E106" s="87">
        <v>1.1242075764705881</v>
      </c>
      <c r="F106" s="87">
        <v>1.0908836428917581</v>
      </c>
      <c r="G106" s="87">
        <v>1.0585475024682212</v>
      </c>
      <c r="H106" s="87">
        <v>1.0271698748836142</v>
      </c>
      <c r="I106" s="87">
        <v>0.99672234775320778</v>
      </c>
      <c r="J106" s="87">
        <v>0.96717735089654189</v>
      </c>
      <c r="K106" s="87">
        <v>0.93850813137267908</v>
      </c>
    </row>
    <row r="107" spans="1:11" x14ac:dyDescent="0.35">
      <c r="A107" t="str">
        <f t="shared" si="2"/>
        <v>HGV40</v>
      </c>
      <c r="B107" t="str">
        <v>BEV</v>
      </c>
      <c r="C107" t="str">
        <v>Min range buffer</v>
      </c>
      <c r="D107" t="str">
        <v>km</v>
      </c>
      <c r="E107" s="151">
        <v>50</v>
      </c>
      <c r="F107" s="151">
        <v>50</v>
      </c>
      <c r="G107" s="151">
        <v>50</v>
      </c>
      <c r="H107" s="151">
        <v>50</v>
      </c>
      <c r="I107" s="151">
        <v>50</v>
      </c>
      <c r="J107" s="151">
        <v>50</v>
      </c>
      <c r="K107" s="151">
        <v>50</v>
      </c>
    </row>
    <row r="108" spans="1:11" x14ac:dyDescent="0.35">
      <c r="A108" t="str">
        <f t="shared" si="2"/>
        <v>HGV40</v>
      </c>
      <c r="B108" t="str">
        <v>BEV</v>
      </c>
      <c r="C108" t="str">
        <v>Lifetime</v>
      </c>
      <c r="D108" t="str">
        <v>years</v>
      </c>
      <c r="E108" s="29">
        <f>F$28</f>
        <v>10</v>
      </c>
      <c r="F108" s="29">
        <f>F$28+(F$29-F$28)/3</f>
        <v>11.666666666666666</v>
      </c>
      <c r="G108" s="29">
        <f>F$28+(F$29-F$28)*2/3</f>
        <v>13.333333333333334</v>
      </c>
      <c r="H108" s="29">
        <f>$F$29</f>
        <v>15</v>
      </c>
      <c r="I108" s="29">
        <f>$F$29</f>
        <v>15</v>
      </c>
      <c r="J108" s="29">
        <f>$F$29</f>
        <v>15</v>
      </c>
      <c r="K108" s="29">
        <f>$F$29</f>
        <v>15</v>
      </c>
    </row>
    <row r="109" spans="1:11" x14ac:dyDescent="0.35">
      <c r="A109" t="str">
        <f t="shared" si="2"/>
        <v>HGV40</v>
      </c>
      <c r="B109" t="str">
        <v>ICEV</v>
      </c>
      <c r="C109" t="str">
        <v>Chassis cost</v>
      </c>
      <c r="D109" t="str">
        <v>euro</v>
      </c>
      <c r="E109" s="107" cm="1">
        <f t="array" ref="E109:K109">E99:K99+E$39:K$39</f>
        <v>235200</v>
      </c>
      <c r="F109" s="107">
        <v>237794.60783471845</v>
      </c>
      <c r="G109" s="107">
        <v>240521.56674507578</v>
      </c>
      <c r="H109" s="107">
        <v>243387.62796607104</v>
      </c>
      <c r="I109" s="107">
        <v>246399.88711353898</v>
      </c>
      <c r="J109" s="107">
        <v>249565.8017510334</v>
      </c>
      <c r="K109" s="107">
        <v>252893.20985279875</v>
      </c>
    </row>
    <row r="110" spans="1:11" x14ac:dyDescent="0.35">
      <c r="A110" t="str">
        <f t="shared" si="2"/>
        <v>HGV40</v>
      </c>
      <c r="B110" t="str">
        <v>BEV</v>
      </c>
      <c r="C110" t="str">
        <v>Chassis weight, excl battery</v>
      </c>
      <c r="D110" t="str">
        <v>kg</v>
      </c>
      <c r="E110" s="29" cm="1">
        <f t="array" ref="E110:K110">E98:K98+E$47:K$47</f>
        <v>16172</v>
      </c>
      <c r="F110" s="29">
        <v>16172</v>
      </c>
      <c r="G110" s="29">
        <v>16172</v>
      </c>
      <c r="H110" s="29">
        <v>16172</v>
      </c>
      <c r="I110" s="29">
        <v>16172</v>
      </c>
      <c r="J110" s="29">
        <v>16172</v>
      </c>
      <c r="K110" s="29">
        <v>16172</v>
      </c>
    </row>
    <row r="111" spans="1:11" x14ac:dyDescent="0.35">
      <c r="A111" t="str">
        <f t="shared" si="2"/>
        <v>HGV40</v>
      </c>
      <c r="B111" t="str">
        <v>BEV</v>
      </c>
      <c r="C111" t="str">
        <v>Chassis cost, excl battery</v>
      </c>
      <c r="D111" t="str">
        <v>euro</v>
      </c>
      <c r="E111" s="29" cm="1">
        <f t="array" ref="E111:K111">_xlfn.ANCHORARRAY(E109)+E$43:K$43</f>
        <v>204865.91999999998</v>
      </c>
      <c r="F111" s="29">
        <v>202893.3601539502</v>
      </c>
      <c r="G111" s="29">
        <v>201110.32228617318</v>
      </c>
      <c r="H111" s="29">
        <v>199498.59727600761</v>
      </c>
      <c r="I111" s="29">
        <v>198041.72552059629</v>
      </c>
      <c r="J111" s="29">
        <v>196724.82884260942</v>
      </c>
      <c r="K111" s="29">
        <v>195534.45854814028</v>
      </c>
    </row>
    <row r="112" spans="1:11" x14ac:dyDescent="0.35">
      <c r="A112" t="str">
        <f t="shared" si="2"/>
        <v>HGV40</v>
      </c>
      <c r="B112" t="s">
        <v>30</v>
      </c>
      <c r="C112" t="s">
        <v>312</v>
      </c>
      <c r="D112" t="s">
        <v>49</v>
      </c>
      <c r="E112" s="29" cm="1">
        <f t="array" ref="E112:K112">E88:K88/batteries!E$20:K$20</f>
        <v>158.88888888888891</v>
      </c>
      <c r="F112" s="29">
        <v>165.75529986313589</v>
      </c>
      <c r="G112" s="29">
        <v>150.68834099086558</v>
      </c>
      <c r="H112" s="29">
        <v>129.79307750922794</v>
      </c>
      <c r="I112" s="29">
        <v>109.12085109521168</v>
      </c>
      <c r="J112" s="29">
        <v>90.692301878275998</v>
      </c>
      <c r="K112" s="29">
        <v>74.954623396385458</v>
      </c>
    </row>
    <row r="114" spans="1:11" ht="15" thickBot="1" x14ac:dyDescent="0.4">
      <c r="A114" s="1" t="str" cm="1">
        <f t="array" ref="A114:D114">A52:D52</f>
        <v>group</v>
      </c>
      <c r="B114" s="1" t="str">
        <v>subgroup</v>
      </c>
      <c r="C114" s="1" t="str">
        <v>variable</v>
      </c>
      <c r="D114" s="1" t="str">
        <v>unit</v>
      </c>
      <c r="E114" s="1">
        <v>2020</v>
      </c>
      <c r="F114" s="1">
        <v>2025</v>
      </c>
      <c r="G114" s="1">
        <v>2030</v>
      </c>
      <c r="H114" s="1">
        <v>2035</v>
      </c>
      <c r="I114" s="1">
        <v>2040</v>
      </c>
      <c r="J114" s="1">
        <v>2045</v>
      </c>
      <c r="K114" s="1">
        <v>2050</v>
      </c>
    </row>
    <row r="115" spans="1:11" ht="15" thickTop="1" x14ac:dyDescent="0.35">
      <c r="A115" s="20" t="s">
        <v>19</v>
      </c>
      <c r="B115" s="20" t="str" cm="1">
        <f t="array" ref="B115:D142">B84:D111</f>
        <v>Common</v>
      </c>
      <c r="C115" s="20" t="str">
        <v>Annual distance</v>
      </c>
      <c r="D115" s="20" t="str">
        <v>km</v>
      </c>
      <c r="E115" s="28" cm="1">
        <f t="array" ref="E115:K138">G$4:G$27*_xlfn.ANCHORARRAY(AN19)</f>
        <v>80000</v>
      </c>
      <c r="F115" s="29">
        <v>80000</v>
      </c>
      <c r="G115" s="29">
        <v>80000</v>
      </c>
      <c r="H115" s="29">
        <v>80000</v>
      </c>
      <c r="I115" s="29">
        <v>80000</v>
      </c>
      <c r="J115" s="29">
        <v>80000</v>
      </c>
      <c r="K115" s="29">
        <v>80000</v>
      </c>
    </row>
    <row r="116" spans="1:11" x14ac:dyDescent="0.35">
      <c r="A116" t="str">
        <f t="shared" ref="A116:A143" si="3">A115</f>
        <v>MGV24</v>
      </c>
      <c r="B116" t="str">
        <v>Common</v>
      </c>
      <c r="C116" t="str">
        <v>Utilization</v>
      </c>
      <c r="D116" t="str">
        <v>calendar days per year</v>
      </c>
      <c r="E116" s="29">
        <v>230</v>
      </c>
      <c r="F116" s="29">
        <v>230</v>
      </c>
      <c r="G116" s="29">
        <v>230</v>
      </c>
      <c r="H116" s="29">
        <v>230</v>
      </c>
      <c r="I116" s="29">
        <v>230</v>
      </c>
      <c r="J116" s="29">
        <v>230</v>
      </c>
      <c r="K116" s="29">
        <v>230</v>
      </c>
    </row>
    <row r="117" spans="1:11" x14ac:dyDescent="0.35">
      <c r="A117" t="str">
        <f t="shared" si="3"/>
        <v>MGV24</v>
      </c>
      <c r="B117" t="str">
        <v>Common</v>
      </c>
      <c r="C117" t="str">
        <v>Max time in transit</v>
      </c>
      <c r="D117" t="str">
        <v>h per day</v>
      </c>
      <c r="E117" s="29">
        <v>9</v>
      </c>
      <c r="F117" s="29">
        <v>9</v>
      </c>
      <c r="G117" s="29">
        <v>9</v>
      </c>
      <c r="H117" s="29">
        <v>9</v>
      </c>
      <c r="I117" s="29">
        <v>9</v>
      </c>
      <c r="J117" s="29">
        <v>9</v>
      </c>
      <c r="K117" s="29">
        <v>9</v>
      </c>
    </row>
    <row r="118" spans="1:11" x14ac:dyDescent="0.35">
      <c r="A118" t="str">
        <f t="shared" si="3"/>
        <v>MGV24</v>
      </c>
      <c r="B118" t="str">
        <v>Common</v>
      </c>
      <c r="C118" t="str">
        <v>Max time in use</v>
      </c>
      <c r="D118" t="str">
        <v>h per day</v>
      </c>
      <c r="E118" s="29">
        <v>12</v>
      </c>
      <c r="F118" s="29">
        <v>12</v>
      </c>
      <c r="G118" s="29">
        <v>12</v>
      </c>
      <c r="H118" s="29">
        <v>12</v>
      </c>
      <c r="I118" s="29">
        <v>12</v>
      </c>
      <c r="J118" s="29">
        <v>12</v>
      </c>
      <c r="K118" s="29">
        <v>12</v>
      </c>
    </row>
    <row r="119" spans="1:11" x14ac:dyDescent="0.35">
      <c r="A119" t="str">
        <f>A117</f>
        <v>MGV24</v>
      </c>
      <c r="B119" t="str">
        <v>Common</v>
      </c>
      <c r="C119" t="str">
        <v>Power, peak</v>
      </c>
      <c r="D119" t="str">
        <v>kW</v>
      </c>
      <c r="E119" s="30">
        <v>300</v>
      </c>
      <c r="F119" s="30">
        <v>300</v>
      </c>
      <c r="G119" s="30">
        <v>300</v>
      </c>
      <c r="H119" s="30">
        <v>300</v>
      </c>
      <c r="I119" s="30">
        <v>300</v>
      </c>
      <c r="J119" s="30">
        <v>300</v>
      </c>
      <c r="K119" s="30">
        <v>300</v>
      </c>
    </row>
    <row r="120" spans="1:11" x14ac:dyDescent="0.35">
      <c r="A120" t="str">
        <f t="shared" si="3"/>
        <v>MGV24</v>
      </c>
      <c r="B120" t="str">
        <v>Common</v>
      </c>
      <c r="C120" t="str">
        <v>Tyres</v>
      </c>
      <c r="D120" t="str">
        <v>euro per km</v>
      </c>
      <c r="E120" s="30">
        <v>6.1440000000000002E-2</v>
      </c>
      <c r="F120" s="30">
        <v>6.1440000000000002E-2</v>
      </c>
      <c r="G120" s="30">
        <v>6.1440000000000002E-2</v>
      </c>
      <c r="H120" s="30">
        <v>6.1440000000000002E-2</v>
      </c>
      <c r="I120" s="30">
        <v>6.1440000000000002E-2</v>
      </c>
      <c r="J120" s="30">
        <v>6.1440000000000002E-2</v>
      </c>
      <c r="K120" s="30">
        <v>6.1440000000000002E-2</v>
      </c>
    </row>
    <row r="121" spans="1:11" x14ac:dyDescent="0.35">
      <c r="A121" t="str">
        <f t="shared" si="3"/>
        <v>MGV24</v>
      </c>
      <c r="B121" t="str">
        <v>Common</v>
      </c>
      <c r="C121" t="str">
        <v>Cargo capacity value</v>
      </c>
      <c r="D121" t="str">
        <v>euro per ton-km</v>
      </c>
      <c r="E121" s="87">
        <v>3.5000000000000003E-2</v>
      </c>
      <c r="F121" s="87">
        <v>3.5000000000000003E-2</v>
      </c>
      <c r="G121" s="87">
        <v>3.5000000000000003E-2</v>
      </c>
      <c r="H121" s="87">
        <v>3.5000000000000003E-2</v>
      </c>
      <c r="I121" s="87">
        <v>3.5000000000000003E-2</v>
      </c>
      <c r="J121" s="87">
        <v>3.5000000000000003E-2</v>
      </c>
      <c r="K121" s="87">
        <v>3.5000000000000003E-2</v>
      </c>
    </row>
    <row r="122" spans="1:11" x14ac:dyDescent="0.35">
      <c r="A122" t="str">
        <f t="shared" si="3"/>
        <v>MGV24</v>
      </c>
      <c r="B122" t="str">
        <v>Common</v>
      </c>
      <c r="C122" t="str">
        <v>Cargo capacity value</v>
      </c>
      <c r="D122" t="str">
        <v>euro per m3-km</v>
      </c>
      <c r="E122" s="87">
        <v>9.8000000000000014E-3</v>
      </c>
      <c r="F122" s="87">
        <v>9.8000000000000014E-3</v>
      </c>
      <c r="G122" s="87">
        <v>9.8000000000000014E-3</v>
      </c>
      <c r="H122" s="87">
        <v>9.8000000000000014E-3</v>
      </c>
      <c r="I122" s="87">
        <v>9.8000000000000014E-3</v>
      </c>
      <c r="J122" s="87">
        <v>9.8000000000000014E-3</v>
      </c>
      <c r="K122" s="87">
        <v>9.8000000000000014E-3</v>
      </c>
    </row>
    <row r="123" spans="1:11" x14ac:dyDescent="0.35">
      <c r="A123" t="str">
        <f t="shared" si="3"/>
        <v>MGV24</v>
      </c>
      <c r="B123" t="str">
        <v>Common</v>
      </c>
      <c r="C123" t="str">
        <v>Total weight limit</v>
      </c>
      <c r="D123" t="str">
        <v>kg</v>
      </c>
      <c r="E123" s="29">
        <v>24000</v>
      </c>
      <c r="F123" s="29">
        <v>24000</v>
      </c>
      <c r="G123" s="29">
        <v>24000</v>
      </c>
      <c r="H123" s="29">
        <v>24000</v>
      </c>
      <c r="I123" s="29">
        <v>24000</v>
      </c>
      <c r="J123" s="29">
        <v>24000</v>
      </c>
      <c r="K123" s="29">
        <v>24000</v>
      </c>
    </row>
    <row r="124" spans="1:11" x14ac:dyDescent="0.35">
      <c r="A124" t="str">
        <f t="shared" si="3"/>
        <v>MGV24</v>
      </c>
      <c r="B124" t="str">
        <v>Common</v>
      </c>
      <c r="C124" t="str">
        <v>Depot stop</v>
      </c>
      <c r="D124" t="str">
        <v>h</v>
      </c>
      <c r="E124" s="29">
        <v>12</v>
      </c>
      <c r="F124" s="29">
        <v>12</v>
      </c>
      <c r="G124" s="29">
        <v>12</v>
      </c>
      <c r="H124" s="29">
        <v>12</v>
      </c>
      <c r="I124" s="29">
        <v>12</v>
      </c>
      <c r="J124" s="29">
        <v>12</v>
      </c>
      <c r="K124" s="29">
        <v>12</v>
      </c>
    </row>
    <row r="125" spans="1:11" x14ac:dyDescent="0.35">
      <c r="A125" t="str">
        <f t="shared" si="3"/>
        <v>MGV24</v>
      </c>
      <c r="B125" t="str">
        <v>Common</v>
      </c>
      <c r="C125" t="str">
        <v>Destination stop</v>
      </c>
      <c r="D125" t="str">
        <v>h</v>
      </c>
      <c r="E125" s="133">
        <v>0.5</v>
      </c>
      <c r="F125" s="133">
        <v>0.5</v>
      </c>
      <c r="G125" s="133">
        <v>0.5</v>
      </c>
      <c r="H125" s="133">
        <v>0.5</v>
      </c>
      <c r="I125" s="133">
        <v>0.5</v>
      </c>
      <c r="J125" s="133">
        <v>0.5</v>
      </c>
      <c r="K125" s="133">
        <v>0.5</v>
      </c>
    </row>
    <row r="126" spans="1:11" x14ac:dyDescent="0.35">
      <c r="A126" t="str">
        <f t="shared" si="3"/>
        <v>MGV24</v>
      </c>
      <c r="B126" t="str">
        <v>Common</v>
      </c>
      <c r="C126" t="str">
        <v>Rest stop</v>
      </c>
      <c r="D126" t="str">
        <v>h</v>
      </c>
      <c r="E126" s="133">
        <v>0.75</v>
      </c>
      <c r="F126" s="133">
        <v>0.75</v>
      </c>
      <c r="G126" s="133">
        <v>0.75</v>
      </c>
      <c r="H126" s="133">
        <v>0.75</v>
      </c>
      <c r="I126" s="133">
        <v>0.75</v>
      </c>
      <c r="J126" s="133">
        <v>0.75</v>
      </c>
      <c r="K126" s="133">
        <v>0.75</v>
      </c>
    </row>
    <row r="127" spans="1:11" x14ac:dyDescent="0.35">
      <c r="A127" t="str">
        <f t="shared" si="3"/>
        <v>MGV24</v>
      </c>
      <c r="B127" t="str">
        <v>Common</v>
      </c>
      <c r="C127" t="str">
        <v>Drive session</v>
      </c>
      <c r="D127" t="str">
        <v>h</v>
      </c>
      <c r="E127" s="133">
        <v>4.5</v>
      </c>
      <c r="F127" s="133">
        <v>4.5</v>
      </c>
      <c r="G127" s="133">
        <v>4.5</v>
      </c>
      <c r="H127" s="133">
        <v>4.5</v>
      </c>
      <c r="I127" s="133">
        <v>4.5</v>
      </c>
      <c r="J127" s="133">
        <v>4.5</v>
      </c>
      <c r="K127" s="133">
        <v>4.5</v>
      </c>
    </row>
    <row r="128" spans="1:11" x14ac:dyDescent="0.35">
      <c r="A128" s="24" t="str">
        <f t="shared" si="3"/>
        <v>MGV24</v>
      </c>
      <c r="B128" s="24" t="str">
        <v>Common</v>
      </c>
      <c r="C128" s="24" t="str">
        <v>Driver cost</v>
      </c>
      <c r="D128" s="24" t="str">
        <v>euro per h</v>
      </c>
      <c r="E128" s="32">
        <v>30</v>
      </c>
      <c r="F128" s="32">
        <v>30</v>
      </c>
      <c r="G128" s="32">
        <v>30</v>
      </c>
      <c r="H128" s="32">
        <v>30</v>
      </c>
      <c r="I128" s="32">
        <v>30</v>
      </c>
      <c r="J128" s="32">
        <v>30</v>
      </c>
      <c r="K128" s="32">
        <v>30</v>
      </c>
    </row>
    <row r="129" spans="1:11" x14ac:dyDescent="0.35">
      <c r="A129" t="str">
        <f t="shared" si="3"/>
        <v>MGV24</v>
      </c>
      <c r="B129" t="str">
        <v>ICEV</v>
      </c>
      <c r="C129" t="str">
        <v>Chassis weight</v>
      </c>
      <c r="D129" t="str">
        <v>kg</v>
      </c>
      <c r="E129" s="107">
        <v>10000</v>
      </c>
      <c r="F129" s="107">
        <v>10000</v>
      </c>
      <c r="G129" s="107">
        <v>10000</v>
      </c>
      <c r="H129" s="107">
        <v>10000</v>
      </c>
      <c r="I129" s="107">
        <v>10000</v>
      </c>
      <c r="J129" s="107">
        <v>10000</v>
      </c>
      <c r="K129" s="107">
        <v>10000</v>
      </c>
    </row>
    <row r="130" spans="1:11" x14ac:dyDescent="0.35">
      <c r="A130" t="str">
        <f t="shared" si="3"/>
        <v>MGV24</v>
      </c>
      <c r="B130" t="str">
        <v>ICEV</v>
      </c>
      <c r="C130" t="str">
        <v>Chassis cost, 2020</v>
      </c>
      <c r="D130" t="str">
        <v>euro</v>
      </c>
      <c r="E130" s="107">
        <v>148800</v>
      </c>
      <c r="F130" s="107">
        <v>148800</v>
      </c>
      <c r="G130" s="107">
        <v>148800</v>
      </c>
      <c r="H130" s="107">
        <v>148800</v>
      </c>
      <c r="I130" s="107">
        <v>148800</v>
      </c>
      <c r="J130" s="107">
        <v>148800</v>
      </c>
      <c r="K130" s="107">
        <v>148800</v>
      </c>
    </row>
    <row r="131" spans="1:11" x14ac:dyDescent="0.35">
      <c r="A131" t="str">
        <f t="shared" si="3"/>
        <v>MGV24</v>
      </c>
      <c r="B131" t="str">
        <v>ICEV</v>
      </c>
      <c r="C131" t="str">
        <v>Lifetime</v>
      </c>
      <c r="D131" t="str">
        <v>years</v>
      </c>
      <c r="E131" s="29">
        <v>7</v>
      </c>
      <c r="F131" s="29">
        <v>7</v>
      </c>
      <c r="G131" s="29">
        <v>7</v>
      </c>
      <c r="H131" s="29">
        <v>7</v>
      </c>
      <c r="I131" s="29">
        <v>7</v>
      </c>
      <c r="J131" s="29">
        <v>7</v>
      </c>
      <c r="K131" s="29">
        <v>7</v>
      </c>
    </row>
    <row r="132" spans="1:11" x14ac:dyDescent="0.35">
      <c r="A132" t="str">
        <f t="shared" si="3"/>
        <v>MGV24</v>
      </c>
      <c r="B132" t="str">
        <v>ICEV</v>
      </c>
      <c r="C132" t="str">
        <v>Maintenance cost</v>
      </c>
      <c r="D132" t="str">
        <v>euro per km</v>
      </c>
      <c r="E132" s="87">
        <v>0.12096</v>
      </c>
      <c r="F132" s="87">
        <v>0.12096</v>
      </c>
      <c r="G132" s="87">
        <v>0.12096</v>
      </c>
      <c r="H132" s="87">
        <v>0.12096</v>
      </c>
      <c r="I132" s="87">
        <v>0.12096</v>
      </c>
      <c r="J132" s="87">
        <v>0.12096</v>
      </c>
      <c r="K132" s="87">
        <v>0.12096</v>
      </c>
    </row>
    <row r="133" spans="1:11" x14ac:dyDescent="0.35">
      <c r="A133" t="str">
        <f t="shared" si="3"/>
        <v>MGV24</v>
      </c>
      <c r="B133" t="str">
        <v>ICEV</v>
      </c>
      <c r="C133" t="str">
        <v>Residual value at end of life</v>
      </c>
      <c r="D133" t="str">
        <v>ratio</v>
      </c>
      <c r="E133" s="87">
        <v>0.09</v>
      </c>
      <c r="F133" s="87">
        <v>0.09</v>
      </c>
      <c r="G133" s="87">
        <v>0.09</v>
      </c>
      <c r="H133" s="87">
        <v>0.09</v>
      </c>
      <c r="I133" s="87">
        <v>0.09</v>
      </c>
      <c r="J133" s="87">
        <v>0.09</v>
      </c>
      <c r="K133" s="87">
        <v>0.09</v>
      </c>
    </row>
    <row r="134" spans="1:11" x14ac:dyDescent="0.35">
      <c r="A134" t="str">
        <f t="shared" si="3"/>
        <v>MGV24</v>
      </c>
      <c r="B134" t="str">
        <v>ICEV</v>
      </c>
      <c r="C134" t="str">
        <v>Fuel consumption</v>
      </c>
      <c r="D134" t="str">
        <v>liter per km</v>
      </c>
      <c r="E134" s="87">
        <v>0.22</v>
      </c>
      <c r="F134" s="87">
        <v>0.21455472568681253</v>
      </c>
      <c r="G134" s="87">
        <v>0.20924422870246984</v>
      </c>
      <c r="H134" s="87">
        <v>0.20406517314003217</v>
      </c>
      <c r="I134" s="87">
        <v>0.19901430566041592</v>
      </c>
      <c r="J134" s="87">
        <v>0.19408845344873635</v>
      </c>
      <c r="K134" s="87">
        <v>0.18928452222123321</v>
      </c>
    </row>
    <row r="135" spans="1:11" x14ac:dyDescent="0.35">
      <c r="A135" s="22" t="str">
        <f t="shared" si="3"/>
        <v>MGV24</v>
      </c>
      <c r="B135" s="22" t="str">
        <v>BEV</v>
      </c>
      <c r="C135" s="22" t="str">
        <v>Maintenance cost</v>
      </c>
      <c r="D135" s="22" t="str">
        <v>euro per km</v>
      </c>
      <c r="E135" s="108">
        <v>4.8384000000000003E-2</v>
      </c>
      <c r="F135" s="108">
        <v>4.8384000000000003E-2</v>
      </c>
      <c r="G135" s="108">
        <v>4.8384000000000003E-2</v>
      </c>
      <c r="H135" s="108">
        <v>4.8384000000000003E-2</v>
      </c>
      <c r="I135" s="108">
        <v>4.8384000000000003E-2</v>
      </c>
      <c r="J135" s="108">
        <v>4.8384000000000003E-2</v>
      </c>
      <c r="K135" s="108">
        <v>4.8384000000000003E-2</v>
      </c>
    </row>
    <row r="136" spans="1:11" x14ac:dyDescent="0.35">
      <c r="A136" t="str">
        <f>A133</f>
        <v>MGV24</v>
      </c>
      <c r="B136" t="str">
        <v>BEV</v>
      </c>
      <c r="C136" t="str">
        <v>Residual value at end of life</v>
      </c>
      <c r="D136" t="str">
        <v>ratio</v>
      </c>
      <c r="E136" s="71">
        <v>0.09</v>
      </c>
      <c r="F136" s="71">
        <v>0.09</v>
      </c>
      <c r="G136" s="71">
        <v>0.09</v>
      </c>
      <c r="H136" s="71">
        <v>0.09</v>
      </c>
      <c r="I136" s="71">
        <v>0.09</v>
      </c>
      <c r="J136" s="71">
        <v>0.09</v>
      </c>
      <c r="K136" s="71">
        <v>0.09</v>
      </c>
    </row>
    <row r="137" spans="1:11" x14ac:dyDescent="0.35">
      <c r="A137" t="str">
        <f>A134</f>
        <v>MGV24</v>
      </c>
      <c r="B137" t="str">
        <v>BEV</v>
      </c>
      <c r="C137" t="str">
        <v>Energy consumption</v>
      </c>
      <c r="D137" t="str">
        <v>kWh per km</v>
      </c>
      <c r="E137" s="87">
        <v>0.6412146917647058</v>
      </c>
      <c r="F137" s="87">
        <v>0.62220770742715092</v>
      </c>
      <c r="G137" s="87">
        <v>0.60376413103742976</v>
      </c>
      <c r="H137" s="87">
        <v>0.58586726197065409</v>
      </c>
      <c r="I137" s="87">
        <v>0.56850089464442222</v>
      </c>
      <c r="J137" s="87">
        <v>0.55164930384469424</v>
      </c>
      <c r="K137" s="87">
        <v>0.53529723048663913</v>
      </c>
    </row>
    <row r="138" spans="1:11" x14ac:dyDescent="0.35">
      <c r="A138" t="str">
        <f>A135</f>
        <v>MGV24</v>
      </c>
      <c r="B138" t="str">
        <v>BEV</v>
      </c>
      <c r="C138" t="str">
        <v>Min range buffer</v>
      </c>
      <c r="D138" t="str">
        <v>km</v>
      </c>
      <c r="E138" s="151">
        <v>30</v>
      </c>
      <c r="F138" s="151">
        <v>30</v>
      </c>
      <c r="G138" s="151">
        <v>30</v>
      </c>
      <c r="H138" s="151">
        <v>30</v>
      </c>
      <c r="I138" s="151">
        <v>30</v>
      </c>
      <c r="J138" s="151">
        <v>30</v>
      </c>
      <c r="K138" s="151">
        <v>30</v>
      </c>
    </row>
    <row r="139" spans="1:11" x14ac:dyDescent="0.35">
      <c r="A139" t="str">
        <f t="shared" si="3"/>
        <v>MGV24</v>
      </c>
      <c r="B139" t="str">
        <v>BEV</v>
      </c>
      <c r="C139" t="str">
        <v>Lifetime</v>
      </c>
      <c r="D139" t="str">
        <v>years</v>
      </c>
      <c r="E139" s="29">
        <f>G$28</f>
        <v>7</v>
      </c>
      <c r="F139" s="29">
        <f>G$28+(G$29-G$28)/3</f>
        <v>8.6666666666666661</v>
      </c>
      <c r="G139" s="29">
        <f>G$28+(G$29-G$28)*2/3</f>
        <v>10.333333333333334</v>
      </c>
      <c r="H139" s="29">
        <f>$G$29</f>
        <v>12</v>
      </c>
      <c r="I139" s="29">
        <f>$G$29</f>
        <v>12</v>
      </c>
      <c r="J139" s="29">
        <f>$G$29</f>
        <v>12</v>
      </c>
      <c r="K139" s="29">
        <f>$G$29</f>
        <v>12</v>
      </c>
    </row>
    <row r="140" spans="1:11" x14ac:dyDescent="0.35">
      <c r="A140" t="str">
        <f t="shared" si="3"/>
        <v>MGV24</v>
      </c>
      <c r="B140" t="str">
        <v>ICEV</v>
      </c>
      <c r="C140" t="str">
        <v>Chassis cost</v>
      </c>
      <c r="D140" t="str">
        <v>euro</v>
      </c>
      <c r="E140" s="107" cm="1">
        <f t="array" ref="E140:K140">E130:K130+E$40:K$40</f>
        <v>148800</v>
      </c>
      <c r="F140" s="107">
        <v>150216.88779800967</v>
      </c>
      <c r="G140" s="107">
        <v>151706.0511135819</v>
      </c>
      <c r="H140" s="107">
        <v>153271.1767244885</v>
      </c>
      <c r="I140" s="107">
        <v>154916.13947122029</v>
      </c>
      <c r="J140" s="107">
        <v>156645.01185007551</v>
      </c>
      <c r="K140" s="107">
        <v>158462.07409559263</v>
      </c>
    </row>
    <row r="141" spans="1:11" x14ac:dyDescent="0.35">
      <c r="A141" t="str">
        <f t="shared" si="3"/>
        <v>MGV24</v>
      </c>
      <c r="B141" t="str">
        <v>BEV</v>
      </c>
      <c r="C141" t="str">
        <v>Chassis weight, excl battery</v>
      </c>
      <c r="D141" t="str">
        <v>kg</v>
      </c>
      <c r="E141" s="29" cm="1">
        <f t="array" ref="E141:K141">E129:K129+E$48:K$48</f>
        <v>7912</v>
      </c>
      <c r="F141" s="29">
        <v>7912</v>
      </c>
      <c r="G141" s="29">
        <v>7912</v>
      </c>
      <c r="H141" s="29">
        <v>7912</v>
      </c>
      <c r="I141" s="29">
        <v>7912</v>
      </c>
      <c r="J141" s="29">
        <v>7912</v>
      </c>
      <c r="K141" s="29">
        <v>7912</v>
      </c>
    </row>
    <row r="142" spans="1:11" x14ac:dyDescent="0.35">
      <c r="A142" t="str">
        <f t="shared" si="3"/>
        <v>MGV24</v>
      </c>
      <c r="B142" t="str">
        <v>BEV</v>
      </c>
      <c r="C142" t="str">
        <v>Chassis cost, excl battery</v>
      </c>
      <c r="D142" t="str">
        <v>euro</v>
      </c>
      <c r="E142" s="29" cm="1">
        <f t="array" ref="E142:K142">_xlfn.ANCHORARRAY(E140)+E$44:K$44</f>
        <v>134805.12</v>
      </c>
      <c r="F142" s="29">
        <v>133480.97948050639</v>
      </c>
      <c r="G142" s="29">
        <v>132284.06132705053</v>
      </c>
      <c r="H142" s="29">
        <v>131202.1421160743</v>
      </c>
      <c r="I142" s="29">
        <v>130224.17284081547</v>
      </c>
      <c r="J142" s="29">
        <v>129340.1660742776</v>
      </c>
      <c r="K142" s="29">
        <v>128541.0939734921</v>
      </c>
    </row>
    <row r="143" spans="1:11" x14ac:dyDescent="0.35">
      <c r="A143" t="str">
        <f t="shared" si="3"/>
        <v>MGV24</v>
      </c>
      <c r="B143" t="s">
        <v>30</v>
      </c>
      <c r="C143" t="s">
        <v>312</v>
      </c>
      <c r="D143" t="s">
        <v>49</v>
      </c>
      <c r="E143" s="29" cm="1">
        <f t="array" ref="E143:K143">E119:K119/batteries!E$20:K$20</f>
        <v>86.666666666666671</v>
      </c>
      <c r="F143" s="29">
        <v>90.411981743528671</v>
      </c>
      <c r="G143" s="29">
        <v>82.193640540472131</v>
      </c>
      <c r="H143" s="29">
        <v>70.79622409594252</v>
      </c>
      <c r="I143" s="29">
        <v>59.520464233751824</v>
      </c>
      <c r="J143" s="29">
        <v>49.468528297241456</v>
      </c>
      <c r="K143" s="29">
        <v>40.884340034392068</v>
      </c>
    </row>
    <row r="145" spans="1:11" ht="15" thickBot="1" x14ac:dyDescent="0.4">
      <c r="A145" s="1" t="str" cm="1">
        <f t="array" ref="A145:D145">A52:D52</f>
        <v>group</v>
      </c>
      <c r="B145" s="1" t="str">
        <v>subgroup</v>
      </c>
      <c r="C145" s="1" t="str">
        <v>variable</v>
      </c>
      <c r="D145" s="1" t="str">
        <v>unit</v>
      </c>
      <c r="E145" s="1">
        <v>2020</v>
      </c>
      <c r="F145" s="1">
        <v>2025</v>
      </c>
      <c r="G145" s="1">
        <v>2030</v>
      </c>
      <c r="H145" s="1">
        <v>2035</v>
      </c>
      <c r="I145" s="1">
        <v>2040</v>
      </c>
      <c r="J145" s="1">
        <v>2045</v>
      </c>
      <c r="K145" s="1">
        <v>2050</v>
      </c>
    </row>
    <row r="146" spans="1:11" ht="15" thickTop="1" x14ac:dyDescent="0.35">
      <c r="A146" s="20" t="s">
        <v>20</v>
      </c>
      <c r="B146" s="20" t="str" cm="1">
        <f t="array" ref="B146:D173">B115:D142</f>
        <v>Common</v>
      </c>
      <c r="C146" s="20" t="str">
        <v>Annual distance</v>
      </c>
      <c r="D146" s="20" t="str">
        <v>km</v>
      </c>
      <c r="E146" s="28" cm="1">
        <f t="array" ref="E146:K169">H$4:H$27*_xlfn.ANCHORARRAY(AN19)</f>
        <v>42000</v>
      </c>
      <c r="F146" s="29">
        <v>42000</v>
      </c>
      <c r="G146" s="29">
        <v>42000</v>
      </c>
      <c r="H146" s="29">
        <v>42000</v>
      </c>
      <c r="I146" s="29">
        <v>42000</v>
      </c>
      <c r="J146" s="29">
        <v>42000</v>
      </c>
      <c r="K146" s="29">
        <v>42000</v>
      </c>
    </row>
    <row r="147" spans="1:11" x14ac:dyDescent="0.35">
      <c r="A147" t="str">
        <f t="shared" ref="A147:A174" si="4">A146</f>
        <v>MGV16</v>
      </c>
      <c r="B147" t="str">
        <v>Common</v>
      </c>
      <c r="C147" t="str">
        <v>Utilization</v>
      </c>
      <c r="D147" t="str">
        <v>calendar days per year</v>
      </c>
      <c r="E147" s="29">
        <v>230</v>
      </c>
      <c r="F147" s="29">
        <v>230</v>
      </c>
      <c r="G147" s="29">
        <v>230</v>
      </c>
      <c r="H147" s="29">
        <v>230</v>
      </c>
      <c r="I147" s="29">
        <v>230</v>
      </c>
      <c r="J147" s="29">
        <v>230</v>
      </c>
      <c r="K147" s="29">
        <v>230</v>
      </c>
    </row>
    <row r="148" spans="1:11" x14ac:dyDescent="0.35">
      <c r="A148" t="str">
        <f t="shared" si="4"/>
        <v>MGV16</v>
      </c>
      <c r="B148" t="str">
        <v>Common</v>
      </c>
      <c r="C148" t="str">
        <v>Max time in transit</v>
      </c>
      <c r="D148" t="str">
        <v>h per day</v>
      </c>
      <c r="E148" s="29">
        <v>9</v>
      </c>
      <c r="F148" s="29">
        <v>9</v>
      </c>
      <c r="G148" s="29">
        <v>9</v>
      </c>
      <c r="H148" s="29">
        <v>9</v>
      </c>
      <c r="I148" s="29">
        <v>9</v>
      </c>
      <c r="J148" s="29">
        <v>9</v>
      </c>
      <c r="K148" s="29">
        <v>9</v>
      </c>
    </row>
    <row r="149" spans="1:11" x14ac:dyDescent="0.35">
      <c r="A149" t="str">
        <f t="shared" si="4"/>
        <v>MGV16</v>
      </c>
      <c r="B149" t="str">
        <v>Common</v>
      </c>
      <c r="C149" t="str">
        <v>Max time in use</v>
      </c>
      <c r="D149" t="str">
        <v>h per day</v>
      </c>
      <c r="E149" s="29">
        <v>12</v>
      </c>
      <c r="F149" s="29">
        <v>12</v>
      </c>
      <c r="G149" s="29">
        <v>12</v>
      </c>
      <c r="H149" s="29">
        <v>12</v>
      </c>
      <c r="I149" s="29">
        <v>12</v>
      </c>
      <c r="J149" s="29">
        <v>12</v>
      </c>
      <c r="K149" s="29">
        <v>12</v>
      </c>
    </row>
    <row r="150" spans="1:11" x14ac:dyDescent="0.35">
      <c r="A150" t="str">
        <f>A148</f>
        <v>MGV16</v>
      </c>
      <c r="B150" t="str">
        <v>Common</v>
      </c>
      <c r="C150" t="str">
        <v>Power, peak</v>
      </c>
      <c r="D150" t="str">
        <v>kW</v>
      </c>
      <c r="E150" s="30">
        <v>160</v>
      </c>
      <c r="F150" s="30">
        <v>160</v>
      </c>
      <c r="G150" s="30">
        <v>160</v>
      </c>
      <c r="H150" s="30">
        <v>160</v>
      </c>
      <c r="I150" s="30">
        <v>160</v>
      </c>
      <c r="J150" s="30">
        <v>160</v>
      </c>
      <c r="K150" s="30">
        <v>160</v>
      </c>
    </row>
    <row r="151" spans="1:11" x14ac:dyDescent="0.35">
      <c r="A151" t="str">
        <f t="shared" si="4"/>
        <v>MGV16</v>
      </c>
      <c r="B151" t="str">
        <v>Common</v>
      </c>
      <c r="C151" t="str">
        <v>Tyres</v>
      </c>
      <c r="D151" t="str">
        <v>euro per km</v>
      </c>
      <c r="E151" s="30">
        <v>3.0720000000000001E-2</v>
      </c>
      <c r="F151" s="30">
        <v>3.0720000000000001E-2</v>
      </c>
      <c r="G151" s="30">
        <v>3.0720000000000001E-2</v>
      </c>
      <c r="H151" s="30">
        <v>3.0720000000000001E-2</v>
      </c>
      <c r="I151" s="30">
        <v>3.0720000000000001E-2</v>
      </c>
      <c r="J151" s="30">
        <v>3.0720000000000001E-2</v>
      </c>
      <c r="K151" s="30">
        <v>3.0720000000000001E-2</v>
      </c>
    </row>
    <row r="152" spans="1:11" x14ac:dyDescent="0.35">
      <c r="A152" t="str">
        <f t="shared" si="4"/>
        <v>MGV16</v>
      </c>
      <c r="B152" t="str">
        <v>Common</v>
      </c>
      <c r="C152" t="str">
        <v>Cargo capacity value</v>
      </c>
      <c r="D152" t="str">
        <v>euro per ton-km</v>
      </c>
      <c r="E152" s="87">
        <v>0.05</v>
      </c>
      <c r="F152" s="87">
        <v>0.05</v>
      </c>
      <c r="G152" s="87">
        <v>0.05</v>
      </c>
      <c r="H152" s="87">
        <v>0.05</v>
      </c>
      <c r="I152" s="87">
        <v>0.05</v>
      </c>
      <c r="J152" s="87">
        <v>0.05</v>
      </c>
      <c r="K152" s="87">
        <v>0.05</v>
      </c>
    </row>
    <row r="153" spans="1:11" x14ac:dyDescent="0.35">
      <c r="A153" t="str">
        <f t="shared" si="4"/>
        <v>MGV16</v>
      </c>
      <c r="B153" t="str">
        <v>Common</v>
      </c>
      <c r="C153" t="str">
        <v>Cargo capacity value</v>
      </c>
      <c r="D153" t="str">
        <v>euro per m3-km</v>
      </c>
      <c r="E153" s="87">
        <v>1.4000000000000002E-2</v>
      </c>
      <c r="F153" s="87">
        <v>1.4000000000000002E-2</v>
      </c>
      <c r="G153" s="87">
        <v>1.4000000000000002E-2</v>
      </c>
      <c r="H153" s="87">
        <v>1.4000000000000002E-2</v>
      </c>
      <c r="I153" s="87">
        <v>1.4000000000000002E-2</v>
      </c>
      <c r="J153" s="87">
        <v>1.4000000000000002E-2</v>
      </c>
      <c r="K153" s="87">
        <v>1.4000000000000002E-2</v>
      </c>
    </row>
    <row r="154" spans="1:11" x14ac:dyDescent="0.35">
      <c r="A154" t="str">
        <f t="shared" si="4"/>
        <v>MGV16</v>
      </c>
      <c r="B154" t="str">
        <v>Common</v>
      </c>
      <c r="C154" t="str">
        <v>Total weight limit</v>
      </c>
      <c r="D154" t="str">
        <v>kg</v>
      </c>
      <c r="E154" s="29">
        <v>16000</v>
      </c>
      <c r="F154" s="29">
        <v>16000</v>
      </c>
      <c r="G154" s="29">
        <v>16000</v>
      </c>
      <c r="H154" s="29">
        <v>16000</v>
      </c>
      <c r="I154" s="29">
        <v>16000</v>
      </c>
      <c r="J154" s="29">
        <v>16000</v>
      </c>
      <c r="K154" s="29">
        <v>16000</v>
      </c>
    </row>
    <row r="155" spans="1:11" x14ac:dyDescent="0.35">
      <c r="A155" t="str">
        <f t="shared" si="4"/>
        <v>MGV16</v>
      </c>
      <c r="B155" t="str">
        <v>Common</v>
      </c>
      <c r="C155" t="str">
        <v>Depot stop</v>
      </c>
      <c r="D155" t="str">
        <v>h</v>
      </c>
      <c r="E155" s="29">
        <v>12</v>
      </c>
      <c r="F155" s="29">
        <v>12</v>
      </c>
      <c r="G155" s="29">
        <v>12</v>
      </c>
      <c r="H155" s="29">
        <v>12</v>
      </c>
      <c r="I155" s="29">
        <v>12</v>
      </c>
      <c r="J155" s="29">
        <v>12</v>
      </c>
      <c r="K155" s="29">
        <v>12</v>
      </c>
    </row>
    <row r="156" spans="1:11" x14ac:dyDescent="0.35">
      <c r="A156" t="str">
        <f t="shared" si="4"/>
        <v>MGV16</v>
      </c>
      <c r="B156" t="str">
        <v>Common</v>
      </c>
      <c r="C156" t="str">
        <v>Destination stop</v>
      </c>
      <c r="D156" t="str">
        <v>h</v>
      </c>
      <c r="E156" s="133">
        <v>0.2</v>
      </c>
      <c r="F156" s="133">
        <v>0.2</v>
      </c>
      <c r="G156" s="133">
        <v>0.2</v>
      </c>
      <c r="H156" s="133">
        <v>0.2</v>
      </c>
      <c r="I156" s="133">
        <v>0.2</v>
      </c>
      <c r="J156" s="133">
        <v>0.2</v>
      </c>
      <c r="K156" s="133">
        <v>0.2</v>
      </c>
    </row>
    <row r="157" spans="1:11" x14ac:dyDescent="0.35">
      <c r="A157" t="str">
        <f t="shared" si="4"/>
        <v>MGV16</v>
      </c>
      <c r="B157" t="str">
        <v>Common</v>
      </c>
      <c r="C157" t="str">
        <v>Rest stop</v>
      </c>
      <c r="D157" t="str">
        <v>h</v>
      </c>
      <c r="E157" s="133">
        <v>0.75</v>
      </c>
      <c r="F157" s="133">
        <v>0.75</v>
      </c>
      <c r="G157" s="133">
        <v>0.75</v>
      </c>
      <c r="H157" s="133">
        <v>0.75</v>
      </c>
      <c r="I157" s="133">
        <v>0.75</v>
      </c>
      <c r="J157" s="133">
        <v>0.75</v>
      </c>
      <c r="K157" s="133">
        <v>0.75</v>
      </c>
    </row>
    <row r="158" spans="1:11" x14ac:dyDescent="0.35">
      <c r="A158" t="str">
        <f t="shared" si="4"/>
        <v>MGV16</v>
      </c>
      <c r="B158" t="str">
        <v>Common</v>
      </c>
      <c r="C158" t="str">
        <v>Drive session</v>
      </c>
      <c r="D158" t="str">
        <v>h</v>
      </c>
      <c r="E158" s="133">
        <v>4.5</v>
      </c>
      <c r="F158" s="133">
        <v>4.5</v>
      </c>
      <c r="G158" s="133">
        <v>4.5</v>
      </c>
      <c r="H158" s="133">
        <v>4.5</v>
      </c>
      <c r="I158" s="133">
        <v>4.5</v>
      </c>
      <c r="J158" s="133">
        <v>4.5</v>
      </c>
      <c r="K158" s="133">
        <v>4.5</v>
      </c>
    </row>
    <row r="159" spans="1:11" x14ac:dyDescent="0.35">
      <c r="A159" s="24" t="str">
        <f t="shared" si="4"/>
        <v>MGV16</v>
      </c>
      <c r="B159" s="24" t="str">
        <v>Common</v>
      </c>
      <c r="C159" s="24" t="str">
        <v>Driver cost</v>
      </c>
      <c r="D159" s="24" t="str">
        <v>euro per h</v>
      </c>
      <c r="E159" s="32">
        <v>30</v>
      </c>
      <c r="F159" s="32">
        <v>30</v>
      </c>
      <c r="G159" s="32">
        <v>30</v>
      </c>
      <c r="H159" s="32">
        <v>30</v>
      </c>
      <c r="I159" s="32">
        <v>30</v>
      </c>
      <c r="J159" s="32">
        <v>30</v>
      </c>
      <c r="K159" s="32">
        <v>30</v>
      </c>
    </row>
    <row r="160" spans="1:11" x14ac:dyDescent="0.35">
      <c r="A160" t="str">
        <f t="shared" si="4"/>
        <v>MGV16</v>
      </c>
      <c r="B160" t="str">
        <v>ICEV</v>
      </c>
      <c r="C160" t="str">
        <v>Chassis weight</v>
      </c>
      <c r="D160" t="str">
        <v>kg</v>
      </c>
      <c r="E160" s="107">
        <v>5000</v>
      </c>
      <c r="F160" s="107">
        <v>5000</v>
      </c>
      <c r="G160" s="107">
        <v>5000</v>
      </c>
      <c r="H160" s="107">
        <v>5000</v>
      </c>
      <c r="I160" s="107">
        <v>5000</v>
      </c>
      <c r="J160" s="107">
        <v>5000</v>
      </c>
      <c r="K160" s="107">
        <v>5000</v>
      </c>
    </row>
    <row r="161" spans="1:11" x14ac:dyDescent="0.35">
      <c r="A161" t="str">
        <f t="shared" si="4"/>
        <v>MGV16</v>
      </c>
      <c r="B161" t="str">
        <v>ICEV</v>
      </c>
      <c r="C161" t="str">
        <v>Chassis cost, 2020</v>
      </c>
      <c r="D161" t="str">
        <v>euro</v>
      </c>
      <c r="E161" s="107">
        <v>91200</v>
      </c>
      <c r="F161" s="107">
        <v>91200</v>
      </c>
      <c r="G161" s="107">
        <v>91200</v>
      </c>
      <c r="H161" s="107">
        <v>91200</v>
      </c>
      <c r="I161" s="107">
        <v>91200</v>
      </c>
      <c r="J161" s="107">
        <v>91200</v>
      </c>
      <c r="K161" s="107">
        <v>91200</v>
      </c>
    </row>
    <row r="162" spans="1:11" x14ac:dyDescent="0.35">
      <c r="A162" t="str">
        <f t="shared" si="4"/>
        <v>MGV16</v>
      </c>
      <c r="B162" t="str">
        <v>ICEV</v>
      </c>
      <c r="C162" t="str">
        <v>Lifetime</v>
      </c>
      <c r="D162" t="str">
        <v>years</v>
      </c>
      <c r="E162" s="29">
        <v>7</v>
      </c>
      <c r="F162" s="29">
        <v>7</v>
      </c>
      <c r="G162" s="29">
        <v>7</v>
      </c>
      <c r="H162" s="29">
        <v>7</v>
      </c>
      <c r="I162" s="29">
        <v>7</v>
      </c>
      <c r="J162" s="29">
        <v>7</v>
      </c>
      <c r="K162" s="29">
        <v>7</v>
      </c>
    </row>
    <row r="163" spans="1:11" x14ac:dyDescent="0.35">
      <c r="A163" t="str">
        <f t="shared" si="4"/>
        <v>MGV16</v>
      </c>
      <c r="B163" t="str">
        <v>ICEV</v>
      </c>
      <c r="C163" t="str">
        <v>Maintenance cost</v>
      </c>
      <c r="D163" t="str">
        <v>euro per km</v>
      </c>
      <c r="E163" s="87">
        <v>0.10176</v>
      </c>
      <c r="F163" s="87">
        <v>0.10176</v>
      </c>
      <c r="G163" s="87">
        <v>0.10176</v>
      </c>
      <c r="H163" s="87">
        <v>0.10176</v>
      </c>
      <c r="I163" s="87">
        <v>0.10176</v>
      </c>
      <c r="J163" s="87">
        <v>0.10176</v>
      </c>
      <c r="K163" s="87">
        <v>0.10176</v>
      </c>
    </row>
    <row r="164" spans="1:11" x14ac:dyDescent="0.35">
      <c r="A164" t="str">
        <f t="shared" si="4"/>
        <v>MGV16</v>
      </c>
      <c r="B164" t="str">
        <v>ICEV</v>
      </c>
      <c r="C164" t="str">
        <v>Residual value at end of life</v>
      </c>
      <c r="D164" t="str">
        <v>ratio</v>
      </c>
      <c r="E164" s="87">
        <v>0.09</v>
      </c>
      <c r="F164" s="87">
        <v>0.09</v>
      </c>
      <c r="G164" s="87">
        <v>0.09</v>
      </c>
      <c r="H164" s="87">
        <v>0.09</v>
      </c>
      <c r="I164" s="87">
        <v>0.09</v>
      </c>
      <c r="J164" s="87">
        <v>0.09</v>
      </c>
      <c r="K164" s="87">
        <v>0.09</v>
      </c>
    </row>
    <row r="165" spans="1:11" x14ac:dyDescent="0.35">
      <c r="A165" t="str">
        <f t="shared" si="4"/>
        <v>MGV16</v>
      </c>
      <c r="B165" t="str">
        <v>ICEV</v>
      </c>
      <c r="C165" t="str">
        <v>Fuel consumption</v>
      </c>
      <c r="D165" t="str">
        <v>liter per km</v>
      </c>
      <c r="E165" s="87">
        <v>0.16</v>
      </c>
      <c r="F165" s="87">
        <v>0.15603980049950003</v>
      </c>
      <c r="G165" s="87">
        <v>0.15217762087452352</v>
      </c>
      <c r="H165" s="87">
        <v>0.1484110350109325</v>
      </c>
      <c r="I165" s="87">
        <v>0.14473767684393885</v>
      </c>
      <c r="J165" s="87">
        <v>0.14115523887180825</v>
      </c>
      <c r="K165" s="87">
        <v>0.13766147070635143</v>
      </c>
    </row>
    <row r="166" spans="1:11" x14ac:dyDescent="0.35">
      <c r="A166" s="22" t="str">
        <f t="shared" si="4"/>
        <v>MGV16</v>
      </c>
      <c r="B166" s="22" t="str">
        <v>BEV</v>
      </c>
      <c r="C166" s="22" t="str">
        <v>Maintenance cost</v>
      </c>
      <c r="D166" s="22" t="str">
        <v>euro per km</v>
      </c>
      <c r="E166" s="108">
        <v>4.0704000000000004E-2</v>
      </c>
      <c r="F166" s="108">
        <v>4.0704000000000004E-2</v>
      </c>
      <c r="G166" s="108">
        <v>4.0704000000000004E-2</v>
      </c>
      <c r="H166" s="108">
        <v>4.0704000000000004E-2</v>
      </c>
      <c r="I166" s="108">
        <v>4.0704000000000004E-2</v>
      </c>
      <c r="J166" s="108">
        <v>4.0704000000000004E-2</v>
      </c>
      <c r="K166" s="108">
        <v>4.0704000000000004E-2</v>
      </c>
    </row>
    <row r="167" spans="1:11" x14ac:dyDescent="0.35">
      <c r="A167" t="str">
        <f>A164</f>
        <v>MGV16</v>
      </c>
      <c r="B167" t="str">
        <v>BEV</v>
      </c>
      <c r="C167" t="str">
        <v>Residual value at end of life</v>
      </c>
      <c r="D167" t="str">
        <v>ratio</v>
      </c>
      <c r="E167" s="71">
        <v>0.09</v>
      </c>
      <c r="F167" s="71">
        <v>0.09</v>
      </c>
      <c r="G167" s="71">
        <v>0.09</v>
      </c>
      <c r="H167" s="71">
        <v>0.09</v>
      </c>
      <c r="I167" s="71">
        <v>0.09</v>
      </c>
      <c r="J167" s="71">
        <v>0.09</v>
      </c>
      <c r="K167" s="71">
        <v>0.09</v>
      </c>
    </row>
    <row r="168" spans="1:11" x14ac:dyDescent="0.35">
      <c r="A168" t="str">
        <f>A165</f>
        <v>MGV16</v>
      </c>
      <c r="B168" t="str">
        <v>BEV</v>
      </c>
      <c r="C168" t="str">
        <v>Energy consumption</v>
      </c>
      <c r="D168" t="str">
        <v>kWh per km</v>
      </c>
      <c r="E168" s="87">
        <v>0.46633795764705877</v>
      </c>
      <c r="F168" s="87">
        <v>0.45251469631065522</v>
      </c>
      <c r="G168" s="87">
        <v>0.43910118620903987</v>
      </c>
      <c r="H168" s="87">
        <v>0.42608528143320296</v>
      </c>
      <c r="I168" s="87">
        <v>0.41345519610503434</v>
      </c>
      <c r="J168" s="87">
        <v>0.40119949370523217</v>
      </c>
      <c r="K168" s="87">
        <v>0.38930707671755577</v>
      </c>
    </row>
    <row r="169" spans="1:11" x14ac:dyDescent="0.35">
      <c r="A169" t="str">
        <f>A166</f>
        <v>MGV16</v>
      </c>
      <c r="B169" t="str">
        <v>BEV</v>
      </c>
      <c r="C169" t="str">
        <v>Min range buffer</v>
      </c>
      <c r="D169" t="str">
        <v>km</v>
      </c>
      <c r="E169" s="151">
        <v>20</v>
      </c>
      <c r="F169" s="151">
        <v>20</v>
      </c>
      <c r="G169" s="151">
        <v>20</v>
      </c>
      <c r="H169" s="151">
        <v>20</v>
      </c>
      <c r="I169" s="151">
        <v>20</v>
      </c>
      <c r="J169" s="151">
        <v>20</v>
      </c>
      <c r="K169" s="151">
        <v>20</v>
      </c>
    </row>
    <row r="170" spans="1:11" x14ac:dyDescent="0.35">
      <c r="A170" t="str">
        <f t="shared" si="4"/>
        <v>MGV16</v>
      </c>
      <c r="B170" t="str">
        <v>BEV</v>
      </c>
      <c r="C170" t="str">
        <v>Lifetime</v>
      </c>
      <c r="D170" t="str">
        <v>years</v>
      </c>
      <c r="E170" s="29">
        <f>H$28</f>
        <v>7</v>
      </c>
      <c r="F170" s="29">
        <f>H$28+(H$29-H$28)/3</f>
        <v>8.6666666666666661</v>
      </c>
      <c r="G170" s="29">
        <f>H$28+(H$29-H$28)*2/3</f>
        <v>10.333333333333334</v>
      </c>
      <c r="H170" s="29">
        <f>$H$29</f>
        <v>12</v>
      </c>
      <c r="I170" s="29">
        <f>$H$29</f>
        <v>12</v>
      </c>
      <c r="J170" s="29">
        <f>$H$29</f>
        <v>12</v>
      </c>
      <c r="K170" s="29">
        <f>$H$29</f>
        <v>12</v>
      </c>
    </row>
    <row r="171" spans="1:11" x14ac:dyDescent="0.35">
      <c r="A171" t="str">
        <f t="shared" si="4"/>
        <v>MGV16</v>
      </c>
      <c r="B171" t="str">
        <v>ICEV</v>
      </c>
      <c r="C171" t="str">
        <v>Chassis cost</v>
      </c>
      <c r="D171" t="str">
        <v>euro</v>
      </c>
      <c r="E171" s="107" cm="1">
        <f t="array" ref="E171:K171">E161:K161+E$41:K$41</f>
        <v>91200</v>
      </c>
      <c r="F171" s="107">
        <v>91957.364577452739</v>
      </c>
      <c r="G171" s="107">
        <v>92753.362359945299</v>
      </c>
      <c r="H171" s="107">
        <v>93589.964029202296</v>
      </c>
      <c r="I171" s="107">
        <v>94469.24079152185</v>
      </c>
      <c r="J171" s="107">
        <v>95393.369505539085</v>
      </c>
      <c r="K171" s="107">
        <v>96364.638071557187</v>
      </c>
    </row>
    <row r="172" spans="1:11" x14ac:dyDescent="0.35">
      <c r="A172" t="str">
        <f t="shared" si="4"/>
        <v>MGV16</v>
      </c>
      <c r="B172" t="str">
        <v>BEV</v>
      </c>
      <c r="C172" t="str">
        <v>Chassis weight, excl battery</v>
      </c>
      <c r="D172" t="str">
        <v>kg</v>
      </c>
      <c r="E172" s="29" cm="1">
        <f t="array" ref="E172:K172">E160:K160+E$49:K$49</f>
        <v>3886.4</v>
      </c>
      <c r="F172" s="29">
        <v>3886.4</v>
      </c>
      <c r="G172" s="29">
        <v>3886.4</v>
      </c>
      <c r="H172" s="29">
        <v>3886.4</v>
      </c>
      <c r="I172" s="29">
        <v>3886.4</v>
      </c>
      <c r="J172" s="29">
        <v>3886.4</v>
      </c>
      <c r="K172" s="29">
        <v>3886.4</v>
      </c>
    </row>
    <row r="173" spans="1:11" x14ac:dyDescent="0.35">
      <c r="A173" t="str">
        <f t="shared" si="4"/>
        <v>MGV16</v>
      </c>
      <c r="B173" t="str">
        <v>BEV</v>
      </c>
      <c r="C173" t="str">
        <v>Chassis cost, excl battery</v>
      </c>
      <c r="D173" t="str">
        <v>euro</v>
      </c>
      <c r="E173" s="29" cm="1">
        <f t="array" ref="E173:K173">_xlfn.ANCHORARRAY(E171)+E$45:K$45</f>
        <v>86355.072</v>
      </c>
      <c r="F173" s="29">
        <v>85394.046303377821</v>
      </c>
      <c r="G173" s="29">
        <v>84525.355189941809</v>
      </c>
      <c r="H173" s="29">
        <v>83740.127226511671</v>
      </c>
      <c r="I173" s="29">
        <v>83030.34334013825</v>
      </c>
      <c r="J173" s="29">
        <v>82388.754924011795</v>
      </c>
      <c r="K173" s="29">
        <v>81808.809811689105</v>
      </c>
    </row>
    <row r="174" spans="1:11" x14ac:dyDescent="0.35">
      <c r="A174" t="str">
        <f t="shared" si="4"/>
        <v>MGV16</v>
      </c>
      <c r="B174" t="s">
        <v>30</v>
      </c>
      <c r="C174" t="s">
        <v>312</v>
      </c>
      <c r="D174" t="s">
        <v>49</v>
      </c>
      <c r="E174" s="29" cm="1">
        <f t="array" ref="E174:K174">E150:K150/batteries!E$20:K$20</f>
        <v>46.222222222222229</v>
      </c>
      <c r="F174" s="29">
        <v>48.219723596548626</v>
      </c>
      <c r="G174" s="29">
        <v>43.836608288251803</v>
      </c>
      <c r="H174" s="29">
        <v>37.757986184502677</v>
      </c>
      <c r="I174" s="29">
        <v>31.744247591334307</v>
      </c>
      <c r="J174" s="29">
        <v>26.383215091862109</v>
      </c>
      <c r="K174" s="29">
        <v>21.804981351675767</v>
      </c>
    </row>
  </sheetData>
  <mergeCells count="2">
    <mergeCell ref="E2:H2"/>
    <mergeCell ref="AD18:AL23"/>
  </mergeCells>
  <phoneticPr fontId="18" type="noConversion"/>
  <conditionalFormatting sqref="E53:K81">
    <cfRule type="cellIs" dxfId="4" priority="18" operator="equal">
      <formula>0</formula>
    </cfRule>
  </conditionalFormatting>
  <conditionalFormatting sqref="E84:K112">
    <cfRule type="cellIs" dxfId="3" priority="5" operator="equal">
      <formula>0</formula>
    </cfRule>
  </conditionalFormatting>
  <conditionalFormatting sqref="E115:K143">
    <cfRule type="cellIs" dxfId="2" priority="2" operator="equal">
      <formula>0</formula>
    </cfRule>
  </conditionalFormatting>
  <conditionalFormatting sqref="E146:K174">
    <cfRule type="cellIs" dxfId="1" priority="1" operator="equal">
      <formula>0</formula>
    </cfRule>
  </conditionalFormatting>
  <pageMargins left="0.7" right="0.7" top="0.75" bottom="0.75" header="0.3" footer="0.3"/>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AE6A7-9BE6-4F42-91F1-81BAF6AEE7C4}">
  <dimension ref="A1:N260"/>
  <sheetViews>
    <sheetView topLeftCell="B195" zoomScale="85" zoomScaleNormal="85" workbookViewId="0">
      <selection activeCell="N3" sqref="N3:N227"/>
    </sheetView>
  </sheetViews>
  <sheetFormatPr defaultColWidth="8.81640625" defaultRowHeight="14.5" x14ac:dyDescent="0.35"/>
  <cols>
    <col min="1" max="1" width="56" bestFit="1" customWidth="1"/>
    <col min="2" max="3" width="8.6328125"/>
    <col min="4" max="4" width="30.453125" bestFit="1" customWidth="1"/>
    <col min="5" max="5" width="14.453125" bestFit="1" customWidth="1"/>
    <col min="7" max="12" width="8.6328125"/>
    <col min="13" max="13" width="19.90625" bestFit="1" customWidth="1"/>
    <col min="14" max="14" width="87.90625" customWidth="1"/>
  </cols>
  <sheetData>
    <row r="1" spans="1:14" x14ac:dyDescent="0.35">
      <c r="A1" s="4" t="s">
        <v>400</v>
      </c>
      <c r="B1" s="4" t="s">
        <v>80</v>
      </c>
      <c r="C1" s="4" t="s">
        <v>82</v>
      </c>
      <c r="D1" s="4" t="s">
        <v>81</v>
      </c>
      <c r="E1" s="4" t="s">
        <v>83</v>
      </c>
      <c r="F1" s="4">
        <v>2020</v>
      </c>
      <c r="G1" s="4">
        <v>2025</v>
      </c>
      <c r="H1" s="4">
        <v>2030</v>
      </c>
      <c r="I1" s="4">
        <v>2035</v>
      </c>
      <c r="J1" s="4">
        <v>2040</v>
      </c>
      <c r="K1" s="4">
        <v>2045</v>
      </c>
      <c r="L1" s="4">
        <v>2050</v>
      </c>
      <c r="M1" s="4" t="s">
        <v>343</v>
      </c>
      <c r="N1" s="4" t="s">
        <v>419</v>
      </c>
    </row>
    <row r="2" spans="1:14" x14ac:dyDescent="0.35">
      <c r="B2" s="4"/>
      <c r="C2" s="4"/>
      <c r="D2" s="4"/>
      <c r="E2" s="4"/>
      <c r="F2" s="4"/>
      <c r="G2" s="4"/>
      <c r="H2" s="4"/>
      <c r="I2" s="4"/>
      <c r="J2" s="4"/>
      <c r="K2" s="4"/>
      <c r="L2" s="4"/>
    </row>
    <row r="3" spans="1:14" x14ac:dyDescent="0.35">
      <c r="B3" s="4" t="s">
        <v>323</v>
      </c>
      <c r="C3" s="4"/>
      <c r="D3" s="4"/>
      <c r="E3" s="4"/>
      <c r="F3" s="4"/>
      <c r="G3" s="4"/>
      <c r="H3" s="4"/>
      <c r="I3" s="4"/>
      <c r="J3" s="4"/>
      <c r="K3" s="4"/>
      <c r="L3" s="4"/>
      <c r="N3" s="163" t="str">
        <f>IF(C3="",IF(B2="","","} ")&amp;IF(B4="","","public class "&amp;B3&amp;" {"),"public override ParameterTimeSeries&lt;"&amp;M3&amp;"&gt; "&amp;A3&amp;" { get; } = new ParameterTimeSeries&lt;"&amp;M3&amp;"&gt; { "&amp;_xlfn.TEXTJOIN("f, ",TRUE,F3:L3)&amp;"f };")</f>
        <v>public class HGV60Internal : VehicleType {</v>
      </c>
    </row>
    <row r="4" spans="1:14" x14ac:dyDescent="0.35">
      <c r="A4" t="str" cm="1">
        <f t="array" ref="A4:A260">SUBSTITUTE(SUBSTITUTE(SUBSTITUTE(SUBSTITUTE(SUBSTITUTE(SUBSTITUTE(SUBSTITUTE(SUBSTITUTE(IF(C4:C260&lt;&gt;0,C4:C260&amp;"_","")&amp;D4:D260&amp;"_"&amp;E4:E260," ","_"),",",""),"(",""),")",""),"/","_per_"),"₂","2"),"-","_"),"€","euro")</f>
        <v>Common_Annual_distance_km</v>
      </c>
      <c r="B4" t="str" cm="1">
        <f t="array" ref="B4:L32">vehicles!A53:K81</f>
        <v>HGV60</v>
      </c>
      <c r="C4" t="str">
        <v>Common</v>
      </c>
      <c r="D4" t="str">
        <v>Annual distance</v>
      </c>
      <c r="E4" t="str">
        <v>km</v>
      </c>
      <c r="F4">
        <v>90000</v>
      </c>
      <c r="G4">
        <v>90000</v>
      </c>
      <c r="H4">
        <v>90000</v>
      </c>
      <c r="I4">
        <v>90000</v>
      </c>
      <c r="J4">
        <v>90000</v>
      </c>
      <c r="K4">
        <v>90000</v>
      </c>
      <c r="L4">
        <v>90000</v>
      </c>
      <c r="M4" t="s">
        <v>357</v>
      </c>
      <c r="N4" s="163" t="str">
        <f t="shared" ref="N4:N70" si="0">IF(C4="",IF(B3="","","} ")&amp;IF(B5="","","public class "&amp;B4&amp;" {"),"public override ParameterTimeSeries&lt;"&amp;M4&amp;"&gt; "&amp;A4&amp;" { get; } = new ParameterTimeSeries&lt;"&amp;M4&amp;"&gt; { "&amp;_xlfn.TEXTJOIN("f, ",TRUE,F4:L4)&amp;"f };")</f>
        <v>public override ParameterTimeSeries&lt;KilometersPerYear&gt; Common_Annual_distance_km { get; } = new ParameterTimeSeries&lt;KilometersPerYear&gt; { 90000f, 90000f, 90000f, 90000f, 90000f, 90000f, 90000f };</v>
      </c>
    </row>
    <row r="5" spans="1:14" x14ac:dyDescent="0.35">
      <c r="A5" t="str">
        <v>Common_Utilization_calendar_days_per_year</v>
      </c>
      <c r="B5" t="str">
        <v>HGV60</v>
      </c>
      <c r="C5" t="str">
        <v>Common</v>
      </c>
      <c r="D5" t="str">
        <v>Utilization</v>
      </c>
      <c r="E5" t="str">
        <v>calendar days per year</v>
      </c>
      <c r="F5">
        <v>230</v>
      </c>
      <c r="G5">
        <v>230</v>
      </c>
      <c r="H5">
        <v>230</v>
      </c>
      <c r="I5">
        <v>230</v>
      </c>
      <c r="J5">
        <v>230</v>
      </c>
      <c r="K5">
        <v>230</v>
      </c>
      <c r="L5">
        <v>230</v>
      </c>
      <c r="M5" t="s">
        <v>354</v>
      </c>
      <c r="N5" s="163" t="str">
        <f t="shared" si="0"/>
        <v>public override ParameterTimeSeries&lt;Dimensionless&gt; Common_Utilization_calendar_days_per_year { get; } = new ParameterTimeSeries&lt;Dimensionless&gt; { 230f, 230f, 230f, 230f, 230f, 230f, 230f };</v>
      </c>
    </row>
    <row r="6" spans="1:14" x14ac:dyDescent="0.35">
      <c r="A6" t="str">
        <v>Common_Max_time_in_transit_h_per_day</v>
      </c>
      <c r="B6" t="str">
        <v>HGV60</v>
      </c>
      <c r="C6" t="str">
        <v>Common</v>
      </c>
      <c r="D6" t="str">
        <v>Max time in transit</v>
      </c>
      <c r="E6" t="str">
        <v>h per day</v>
      </c>
      <c r="F6">
        <v>9</v>
      </c>
      <c r="G6">
        <v>9</v>
      </c>
      <c r="H6">
        <v>9</v>
      </c>
      <c r="I6">
        <v>9</v>
      </c>
      <c r="J6">
        <v>9</v>
      </c>
      <c r="K6">
        <v>9</v>
      </c>
      <c r="L6">
        <v>9</v>
      </c>
      <c r="M6" t="s">
        <v>344</v>
      </c>
      <c r="N6" s="163" t="str">
        <f>IF(C6="",IF(B5="","","} ")&amp;IF(B8="","","public class "&amp;B6&amp;" {"),"public override ParameterTimeSeries&lt;"&amp;M6&amp;"&gt; "&amp;A6&amp;" { get; } = new ParameterTimeSeries&lt;"&amp;M6&amp;"&gt; { "&amp;_xlfn.TEXTJOIN("f, ",TRUE,F6:L6)&amp;"f };")</f>
        <v>public override ParameterTimeSeries&lt;Hours&gt; Common_Max_time_in_transit_h_per_day { get; } = new ParameterTimeSeries&lt;Hours&gt; { 9f, 9f, 9f, 9f, 9f, 9f, 9f };</v>
      </c>
    </row>
    <row r="7" spans="1:14" x14ac:dyDescent="0.35">
      <c r="A7" t="str">
        <v>Common_Max_time_in_use_h_per_day</v>
      </c>
      <c r="B7" t="str">
        <v>HGV60</v>
      </c>
      <c r="C7" t="str">
        <v>Common</v>
      </c>
      <c r="D7" t="str">
        <v>Max time in use</v>
      </c>
      <c r="E7" t="str">
        <v>h per day</v>
      </c>
      <c r="F7">
        <v>12</v>
      </c>
      <c r="G7">
        <v>12</v>
      </c>
      <c r="H7">
        <v>12</v>
      </c>
      <c r="I7">
        <v>12</v>
      </c>
      <c r="J7">
        <v>12</v>
      </c>
      <c r="K7">
        <v>12</v>
      </c>
      <c r="L7">
        <v>12</v>
      </c>
      <c r="M7" t="s">
        <v>344</v>
      </c>
      <c r="N7" s="163" t="str">
        <f>IF(C7="",IF(B6="","","} ")&amp;IF(B9="","","public class "&amp;B7&amp;" {"),"public override ParameterTimeSeries&lt;"&amp;M7&amp;"&gt; "&amp;A7&amp;" { get; } = new ParameterTimeSeries&lt;"&amp;M7&amp;"&gt; { "&amp;_xlfn.TEXTJOIN("f, ",TRUE,F7:L7)&amp;"f };")</f>
        <v>public override ParameterTimeSeries&lt;Hours&gt; Common_Max_time_in_use_h_per_day { get; } = new ParameterTimeSeries&lt;Hours&gt; { 12f, 12f, 12f, 12f, 12f, 12f, 12f };</v>
      </c>
    </row>
    <row r="8" spans="1:14" x14ac:dyDescent="0.35">
      <c r="A8" t="str">
        <v>Common_Power_peak_kW</v>
      </c>
      <c r="B8" t="str">
        <v>HGV60</v>
      </c>
      <c r="C8" t="str">
        <v>Common</v>
      </c>
      <c r="D8" t="str">
        <v>Power, peak</v>
      </c>
      <c r="E8" t="str">
        <v>kW</v>
      </c>
      <c r="F8">
        <v>750</v>
      </c>
      <c r="G8">
        <v>750</v>
      </c>
      <c r="H8">
        <v>750</v>
      </c>
      <c r="I8">
        <v>750</v>
      </c>
      <c r="J8">
        <v>750</v>
      </c>
      <c r="K8">
        <v>750</v>
      </c>
      <c r="L8">
        <v>750</v>
      </c>
      <c r="M8" t="s">
        <v>345</v>
      </c>
      <c r="N8" s="163" t="str">
        <f>IF(C8="",IF(B6="","","} ")&amp;IF(B9="","","public class "&amp;B8&amp;" {"),"public override ParameterTimeSeries&lt;"&amp;M8&amp;"&gt; "&amp;A8&amp;" { get; } = new ParameterTimeSeries&lt;"&amp;M8&amp;"&gt; { "&amp;_xlfn.TEXTJOIN("f, ",TRUE,F8:L8)&amp;"f };")</f>
        <v>public override ParameterTimeSeries&lt;KiloWatts&gt; Common_Power_peak_kW { get; } = new ParameterTimeSeries&lt;KiloWatts&gt; { 750f, 750f, 750f, 750f, 750f, 750f, 750f };</v>
      </c>
    </row>
    <row r="9" spans="1:14" x14ac:dyDescent="0.35">
      <c r="A9" t="str">
        <v>Common_Tyres_euro_per_km</v>
      </c>
      <c r="B9" t="str">
        <v>HGV60</v>
      </c>
      <c r="C9" t="str">
        <v>Common</v>
      </c>
      <c r="D9" t="str">
        <v>Tyres</v>
      </c>
      <c r="E9" t="str">
        <v>euro per km</v>
      </c>
      <c r="F9">
        <v>0.11327999999999999</v>
      </c>
      <c r="G9">
        <v>0.11327999999999999</v>
      </c>
      <c r="H9">
        <v>0.11327999999999999</v>
      </c>
      <c r="I9">
        <v>0.11327999999999999</v>
      </c>
      <c r="J9">
        <v>0.11327999999999999</v>
      </c>
      <c r="K9">
        <v>0.11327999999999999</v>
      </c>
      <c r="L9">
        <v>0.11327999999999999</v>
      </c>
      <c r="M9" t="s">
        <v>351</v>
      </c>
      <c r="N9" s="163" t="str">
        <f t="shared" si="0"/>
        <v>public override ParameterTimeSeries&lt;EuroPerKilometer&gt; Common_Tyres_euro_per_km { get; } = new ParameterTimeSeries&lt;EuroPerKilometer&gt; { 0.11328f, 0.11328f, 0.11328f, 0.11328f, 0.11328f, 0.11328f, 0.11328f };</v>
      </c>
    </row>
    <row r="10" spans="1:14" x14ac:dyDescent="0.35">
      <c r="A10" t="str">
        <v>Common_Cargo_capacity_value_euro_per_ton_km</v>
      </c>
      <c r="B10" t="str">
        <v>HGV60</v>
      </c>
      <c r="C10" t="str">
        <v>Common</v>
      </c>
      <c r="D10" t="str">
        <v>Cargo capacity value</v>
      </c>
      <c r="E10" t="str">
        <v>euro per ton-km</v>
      </c>
      <c r="F10">
        <v>2.5000000000000001E-2</v>
      </c>
      <c r="G10">
        <v>2.5000000000000001E-2</v>
      </c>
      <c r="H10">
        <v>2.5000000000000001E-2</v>
      </c>
      <c r="I10">
        <v>2.5000000000000001E-2</v>
      </c>
      <c r="J10">
        <v>2.5000000000000001E-2</v>
      </c>
      <c r="K10">
        <v>2.5000000000000001E-2</v>
      </c>
      <c r="L10">
        <v>2.5000000000000001E-2</v>
      </c>
      <c r="M10" t="s">
        <v>353</v>
      </c>
      <c r="N10" s="163" t="str">
        <f t="shared" si="0"/>
        <v>public override ParameterTimeSeries&lt;EuroPerTonKilometer&gt; Common_Cargo_capacity_value_euro_per_ton_km { get; } = new ParameterTimeSeries&lt;EuroPerTonKilometer&gt; { 0.025f, 0.025f, 0.025f, 0.025f, 0.025f, 0.025f, 0.025f };</v>
      </c>
    </row>
    <row r="11" spans="1:14" x14ac:dyDescent="0.35">
      <c r="A11" t="str">
        <v>Common_Cargo_capacity_value_euro_per_m3_km</v>
      </c>
      <c r="B11" t="str">
        <v>HGV60</v>
      </c>
      <c r="C11" t="str">
        <v>Common</v>
      </c>
      <c r="D11" t="str">
        <v>Cargo capacity value</v>
      </c>
      <c r="E11" t="str">
        <v>euro per m3-km</v>
      </c>
      <c r="F11">
        <v>7.000000000000001E-3</v>
      </c>
      <c r="G11">
        <v>7.000000000000001E-3</v>
      </c>
      <c r="H11">
        <v>7.000000000000001E-3</v>
      </c>
      <c r="I11">
        <v>7.000000000000001E-3</v>
      </c>
      <c r="J11">
        <v>7.000000000000001E-3</v>
      </c>
      <c r="K11">
        <v>7.000000000000001E-3</v>
      </c>
      <c r="L11">
        <v>7.000000000000001E-3</v>
      </c>
      <c r="M11" t="s">
        <v>346</v>
      </c>
      <c r="N11" s="163" t="str">
        <f t="shared" si="0"/>
        <v>public override ParameterTimeSeries&lt;EuroPerCubicMeter&gt; Common_Cargo_capacity_value_euro_per_m3_km { get; } = new ParameterTimeSeries&lt;EuroPerCubicMeter&gt; { 0.007f, 0.007f, 0.007f, 0.007f, 0.007f, 0.007f, 0.007f };</v>
      </c>
    </row>
    <row r="12" spans="1:14" x14ac:dyDescent="0.35">
      <c r="A12" t="str">
        <v>Common_Total_weight_limit_kg</v>
      </c>
      <c r="B12" t="str">
        <v>HGV60</v>
      </c>
      <c r="C12" t="str">
        <v>Common</v>
      </c>
      <c r="D12" t="str">
        <v>Total weight limit</v>
      </c>
      <c r="E12" t="str">
        <v>kg</v>
      </c>
      <c r="F12">
        <v>60000</v>
      </c>
      <c r="G12">
        <v>60000</v>
      </c>
      <c r="H12">
        <v>60000</v>
      </c>
      <c r="I12">
        <v>60000</v>
      </c>
      <c r="J12">
        <v>60000</v>
      </c>
      <c r="K12">
        <v>60000</v>
      </c>
      <c r="L12">
        <v>60000</v>
      </c>
      <c r="M12" t="s">
        <v>347</v>
      </c>
      <c r="N12" s="163" t="str">
        <f t="shared" si="0"/>
        <v>public override ParameterTimeSeries&lt;Kilogram&gt; Common_Total_weight_limit_kg { get; } = new ParameterTimeSeries&lt;Kilogram&gt; { 60000f, 60000f, 60000f, 60000f, 60000f, 60000f, 60000f };</v>
      </c>
    </row>
    <row r="13" spans="1:14" x14ac:dyDescent="0.35">
      <c r="A13" t="str">
        <v>Common_Depot_stop_h</v>
      </c>
      <c r="B13" t="str">
        <v>HGV60</v>
      </c>
      <c r="C13" t="str">
        <v>Common</v>
      </c>
      <c r="D13" t="str">
        <v>Depot stop</v>
      </c>
      <c r="E13" t="str">
        <v>h</v>
      </c>
      <c r="F13">
        <v>12</v>
      </c>
      <c r="G13">
        <v>12</v>
      </c>
      <c r="H13">
        <v>12</v>
      </c>
      <c r="I13">
        <v>12</v>
      </c>
      <c r="J13">
        <v>12</v>
      </c>
      <c r="K13">
        <v>12</v>
      </c>
      <c r="L13">
        <v>12</v>
      </c>
      <c r="M13" t="s">
        <v>344</v>
      </c>
      <c r="N13" s="163" t="str">
        <f t="shared" si="0"/>
        <v>public override ParameterTimeSeries&lt;Hours&gt; Common_Depot_stop_h { get; } = new ParameterTimeSeries&lt;Hours&gt; { 12f, 12f, 12f, 12f, 12f, 12f, 12f };</v>
      </c>
    </row>
    <row r="14" spans="1:14" x14ac:dyDescent="0.35">
      <c r="A14" t="str">
        <v>Common_Destination_stop_h</v>
      </c>
      <c r="B14" t="str">
        <v>HGV60</v>
      </c>
      <c r="C14" t="str">
        <v>Common</v>
      </c>
      <c r="D14" t="str">
        <v>Destination stop</v>
      </c>
      <c r="E14" t="str">
        <v>h</v>
      </c>
      <c r="F14">
        <v>1</v>
      </c>
      <c r="G14">
        <v>1</v>
      </c>
      <c r="H14">
        <v>1</v>
      </c>
      <c r="I14">
        <v>1</v>
      </c>
      <c r="J14">
        <v>1</v>
      </c>
      <c r="K14">
        <v>1</v>
      </c>
      <c r="L14">
        <v>1</v>
      </c>
      <c r="M14" t="s">
        <v>344</v>
      </c>
      <c r="N14" s="163" t="str">
        <f t="shared" si="0"/>
        <v>public override ParameterTimeSeries&lt;Hours&gt; Common_Destination_stop_h { get; } = new ParameterTimeSeries&lt;Hours&gt; { 1f, 1f, 1f, 1f, 1f, 1f, 1f };</v>
      </c>
    </row>
    <row r="15" spans="1:14" x14ac:dyDescent="0.35">
      <c r="A15" t="str">
        <v>Common_Rest_stop_h</v>
      </c>
      <c r="B15" t="str">
        <v>HGV60</v>
      </c>
      <c r="C15" t="str">
        <v>Common</v>
      </c>
      <c r="D15" t="str">
        <v>Rest stop</v>
      </c>
      <c r="E15" t="str">
        <v>h</v>
      </c>
      <c r="F15">
        <v>0.75</v>
      </c>
      <c r="G15">
        <v>0.75</v>
      </c>
      <c r="H15">
        <v>0.75</v>
      </c>
      <c r="I15">
        <v>0.75</v>
      </c>
      <c r="J15">
        <v>0.75</v>
      </c>
      <c r="K15">
        <v>0.75</v>
      </c>
      <c r="L15">
        <v>0.75</v>
      </c>
      <c r="M15" t="s">
        <v>344</v>
      </c>
      <c r="N15" s="163" t="str">
        <f t="shared" si="0"/>
        <v>public override ParameterTimeSeries&lt;Hours&gt; Common_Rest_stop_h { get; } = new ParameterTimeSeries&lt;Hours&gt; { 0.75f, 0.75f, 0.75f, 0.75f, 0.75f, 0.75f, 0.75f };</v>
      </c>
    </row>
    <row r="16" spans="1:14" x14ac:dyDescent="0.35">
      <c r="A16" t="str">
        <v>Common_Drive_session_h</v>
      </c>
      <c r="B16" t="str">
        <v>HGV60</v>
      </c>
      <c r="C16" t="str">
        <v>Common</v>
      </c>
      <c r="D16" t="str">
        <v>Drive session</v>
      </c>
      <c r="E16" t="str">
        <v>h</v>
      </c>
      <c r="F16">
        <v>4.5</v>
      </c>
      <c r="G16">
        <v>4.5</v>
      </c>
      <c r="H16">
        <v>4.5</v>
      </c>
      <c r="I16">
        <v>4.5</v>
      </c>
      <c r="J16">
        <v>4.5</v>
      </c>
      <c r="K16">
        <v>4.5</v>
      </c>
      <c r="L16">
        <v>4.5</v>
      </c>
      <c r="M16" t="s">
        <v>344</v>
      </c>
      <c r="N16" s="163" t="str">
        <f t="shared" si="0"/>
        <v>public override ParameterTimeSeries&lt;Hours&gt; Common_Drive_session_h { get; } = new ParameterTimeSeries&lt;Hours&gt; { 4.5f, 4.5f, 4.5f, 4.5f, 4.5f, 4.5f, 4.5f };</v>
      </c>
    </row>
    <row r="17" spans="1:14" x14ac:dyDescent="0.35">
      <c r="A17" t="str">
        <v>Common_Driver_cost_euro_per_h</v>
      </c>
      <c r="B17" t="str">
        <v>HGV60</v>
      </c>
      <c r="C17" t="str">
        <v>Common</v>
      </c>
      <c r="D17" t="str">
        <v>Driver cost</v>
      </c>
      <c r="E17" t="str">
        <v>euro per h</v>
      </c>
      <c r="F17">
        <v>33.6</v>
      </c>
      <c r="G17">
        <v>33.6</v>
      </c>
      <c r="H17">
        <v>33.6</v>
      </c>
      <c r="I17">
        <v>33.6</v>
      </c>
      <c r="J17">
        <v>33.6</v>
      </c>
      <c r="K17">
        <v>33.6</v>
      </c>
      <c r="L17">
        <v>33.6</v>
      </c>
      <c r="M17" t="s">
        <v>348</v>
      </c>
      <c r="N17" s="163" t="str">
        <f t="shared" si="0"/>
        <v>public override ParameterTimeSeries&lt;EuroPerHour&gt; Common_Driver_cost_euro_per_h { get; } = new ParameterTimeSeries&lt;EuroPerHour&gt; { 33.6f, 33.6f, 33.6f, 33.6f, 33.6f, 33.6f, 33.6f };</v>
      </c>
    </row>
    <row r="18" spans="1:14" x14ac:dyDescent="0.35">
      <c r="A18" t="str">
        <v>ICEV_Chassis_weight_kg</v>
      </c>
      <c r="B18" t="str">
        <v>HGV60</v>
      </c>
      <c r="C18" t="str">
        <v>ICEV</v>
      </c>
      <c r="D18" t="str">
        <v>Chassis weight</v>
      </c>
      <c r="E18" t="str">
        <v>kg</v>
      </c>
      <c r="F18">
        <v>23000</v>
      </c>
      <c r="G18">
        <v>23000</v>
      </c>
      <c r="H18">
        <v>23000</v>
      </c>
      <c r="I18">
        <v>23000</v>
      </c>
      <c r="J18">
        <v>23000</v>
      </c>
      <c r="K18">
        <v>23000</v>
      </c>
      <c r="L18">
        <v>23000</v>
      </c>
      <c r="M18" t="s">
        <v>347</v>
      </c>
      <c r="N18" s="163" t="str">
        <f t="shared" si="0"/>
        <v>public override ParameterTimeSeries&lt;Kilogram&gt; ICEV_Chassis_weight_kg { get; } = new ParameterTimeSeries&lt;Kilogram&gt; { 23000f, 23000f, 23000f, 23000f, 23000f, 23000f, 23000f };</v>
      </c>
    </row>
    <row r="19" spans="1:14" x14ac:dyDescent="0.35">
      <c r="A19" t="str">
        <v>ICEV_Chassis_cost_2020_euro</v>
      </c>
      <c r="B19" t="str">
        <v>HGV60</v>
      </c>
      <c r="C19" t="str">
        <v>ICEV</v>
      </c>
      <c r="D19" t="str">
        <v>Chassis cost, 2020</v>
      </c>
      <c r="E19" t="str">
        <v>euro</v>
      </c>
      <c r="F19">
        <v>259200</v>
      </c>
      <c r="G19">
        <v>259200</v>
      </c>
      <c r="H19">
        <v>259200</v>
      </c>
      <c r="I19">
        <v>259200</v>
      </c>
      <c r="J19">
        <v>259200</v>
      </c>
      <c r="K19">
        <v>259200</v>
      </c>
      <c r="L19">
        <v>259200</v>
      </c>
      <c r="M19" t="s">
        <v>349</v>
      </c>
      <c r="N19" s="163" t="str">
        <f t="shared" si="0"/>
        <v>public override ParameterTimeSeries&lt;Euro&gt; ICEV_Chassis_cost_2020_euro { get; } = new ParameterTimeSeries&lt;Euro&gt; { 259200f, 259200f, 259200f, 259200f, 259200f, 259200f, 259200f };</v>
      </c>
    </row>
    <row r="20" spans="1:14" x14ac:dyDescent="0.35">
      <c r="A20" t="str">
        <v>ICEV_Lifetime_years</v>
      </c>
      <c r="B20" t="str">
        <v>HGV60</v>
      </c>
      <c r="C20" t="str">
        <v>ICEV</v>
      </c>
      <c r="D20" t="str">
        <v>Lifetime</v>
      </c>
      <c r="E20" t="str">
        <v>years</v>
      </c>
      <c r="F20">
        <v>10</v>
      </c>
      <c r="G20">
        <v>10</v>
      </c>
      <c r="H20">
        <v>10</v>
      </c>
      <c r="I20">
        <v>10</v>
      </c>
      <c r="J20">
        <v>10</v>
      </c>
      <c r="K20">
        <v>10</v>
      </c>
      <c r="L20">
        <v>10</v>
      </c>
      <c r="M20" t="s">
        <v>350</v>
      </c>
      <c r="N20" s="163" t="str">
        <f t="shared" si="0"/>
        <v>public override ParameterTimeSeries&lt;Years&gt; ICEV_Lifetime_years { get; } = new ParameterTimeSeries&lt;Years&gt; { 10f, 10f, 10f, 10f, 10f, 10f, 10f };</v>
      </c>
    </row>
    <row r="21" spans="1:14" x14ac:dyDescent="0.35">
      <c r="A21" t="str">
        <v>ICEV_Maintenance_cost_euro_per_km</v>
      </c>
      <c r="B21" t="str">
        <v>HGV60</v>
      </c>
      <c r="C21" t="str">
        <v>ICEV</v>
      </c>
      <c r="D21" t="str">
        <v>Maintenance cost</v>
      </c>
      <c r="E21" t="str">
        <v>euro per km</v>
      </c>
      <c r="F21">
        <v>9.9840000000000012E-2</v>
      </c>
      <c r="G21">
        <v>9.9840000000000012E-2</v>
      </c>
      <c r="H21">
        <v>9.9840000000000012E-2</v>
      </c>
      <c r="I21">
        <v>9.9840000000000012E-2</v>
      </c>
      <c r="J21">
        <v>9.9840000000000012E-2</v>
      </c>
      <c r="K21">
        <v>9.9840000000000012E-2</v>
      </c>
      <c r="L21">
        <v>9.9840000000000012E-2</v>
      </c>
      <c r="M21" t="s">
        <v>351</v>
      </c>
      <c r="N21" s="163" t="str">
        <f t="shared" si="0"/>
        <v>public override ParameterTimeSeries&lt;EuroPerKilometer&gt; ICEV_Maintenance_cost_euro_per_km { get; } = new ParameterTimeSeries&lt;EuroPerKilometer&gt; { 0.09984f, 0.09984f, 0.09984f, 0.09984f, 0.09984f, 0.09984f, 0.09984f };</v>
      </c>
    </row>
    <row r="22" spans="1:14" x14ac:dyDescent="0.35">
      <c r="A22" t="str">
        <v>ICEV_Residual_value_at_end_of_life_ratio</v>
      </c>
      <c r="B22" t="str">
        <v>HGV60</v>
      </c>
      <c r="C22" t="str">
        <v>ICEV</v>
      </c>
      <c r="D22" t="str">
        <v>Residual value at end of life</v>
      </c>
      <c r="E22" t="str">
        <v>ratio</v>
      </c>
      <c r="F22">
        <v>0.09</v>
      </c>
      <c r="G22">
        <v>0.09</v>
      </c>
      <c r="H22">
        <v>0.09</v>
      </c>
      <c r="I22">
        <v>0.09</v>
      </c>
      <c r="J22">
        <v>0.09</v>
      </c>
      <c r="K22">
        <v>0.09</v>
      </c>
      <c r="L22">
        <v>0.09</v>
      </c>
      <c r="M22" t="s">
        <v>354</v>
      </c>
      <c r="N22" s="163" t="str">
        <f t="shared" si="0"/>
        <v>public override ParameterTimeSeries&lt;Dimensionless&gt; ICEV_Residual_value_at_end_of_life_ratio { get; } = new ParameterTimeSeries&lt;Dimensionless&gt; { 0.09f, 0.09f, 0.09f, 0.09f, 0.09f, 0.09f, 0.09f };</v>
      </c>
    </row>
    <row r="23" spans="1:14" x14ac:dyDescent="0.35">
      <c r="A23" t="str">
        <v>ICEV_Fuel_consumption_liter_per_km</v>
      </c>
      <c r="B23" t="str">
        <v>HGV60</v>
      </c>
      <c r="C23" t="str">
        <v>ICEV</v>
      </c>
      <c r="D23" t="str">
        <v>Fuel consumption</v>
      </c>
      <c r="E23" t="str">
        <v>liter per km</v>
      </c>
      <c r="F23">
        <v>0.35</v>
      </c>
      <c r="G23">
        <v>0.34133706359265625</v>
      </c>
      <c r="H23">
        <v>0.33288854566302017</v>
      </c>
      <c r="I23">
        <v>0.3246491390864148</v>
      </c>
      <c r="J23">
        <v>0.31661366809611619</v>
      </c>
      <c r="K23">
        <v>0.30877708503208051</v>
      </c>
      <c r="L23">
        <v>0.30113446717014369</v>
      </c>
      <c r="M23" t="s">
        <v>352</v>
      </c>
      <c r="N23" s="163" t="str">
        <f t="shared" si="0"/>
        <v>public override ParameterTimeSeries&lt;LiterPerKilometer&gt; ICEV_Fuel_consumption_liter_per_km { get; } = new ParameterTimeSeries&lt;LiterPerKilometer&gt; { 0.35f, 0.341337063592656f, 0.33288854566302f, 0.324649139086415f, 0.316613668096116f, 0.308777085032081f, 0.301134467170144f };</v>
      </c>
    </row>
    <row r="24" spans="1:14" x14ac:dyDescent="0.35">
      <c r="A24" t="str">
        <v>BEV_Maintenance_cost_euro_per_km</v>
      </c>
      <c r="B24" t="str">
        <v>HGV60</v>
      </c>
      <c r="C24" t="str">
        <v>BEV</v>
      </c>
      <c r="D24" t="str">
        <v>Maintenance cost</v>
      </c>
      <c r="E24" t="str">
        <v>euro per km</v>
      </c>
      <c r="F24">
        <v>3.9936000000000006E-2</v>
      </c>
      <c r="G24">
        <v>3.9936000000000006E-2</v>
      </c>
      <c r="H24">
        <v>3.9936000000000006E-2</v>
      </c>
      <c r="I24">
        <v>3.9936000000000006E-2</v>
      </c>
      <c r="J24">
        <v>3.9936000000000006E-2</v>
      </c>
      <c r="K24">
        <v>3.9936000000000006E-2</v>
      </c>
      <c r="L24">
        <v>3.9936000000000006E-2</v>
      </c>
      <c r="M24" t="s">
        <v>351</v>
      </c>
      <c r="N24" s="163" t="str">
        <f t="shared" si="0"/>
        <v>public override ParameterTimeSeries&lt;EuroPerKilometer&gt; BEV_Maintenance_cost_euro_per_km { get; } = new ParameterTimeSeries&lt;EuroPerKilometer&gt; { 0.039936f, 0.039936f, 0.039936f, 0.039936f, 0.039936f, 0.039936f, 0.039936f };</v>
      </c>
    </row>
    <row r="25" spans="1:14" x14ac:dyDescent="0.35">
      <c r="A25" t="str">
        <v>BEV_Residual_value_at_end_of_life_ratio</v>
      </c>
      <c r="B25" t="str">
        <v>HGV60</v>
      </c>
      <c r="C25" t="str">
        <v>BEV</v>
      </c>
      <c r="D25" t="str">
        <v>Residual value at end of life</v>
      </c>
      <c r="E25" t="str">
        <v>ratio</v>
      </c>
      <c r="F25">
        <v>0.09</v>
      </c>
      <c r="G25">
        <v>0.09</v>
      </c>
      <c r="H25">
        <v>0.09</v>
      </c>
      <c r="I25">
        <v>0.09</v>
      </c>
      <c r="J25">
        <v>0.09</v>
      </c>
      <c r="K25">
        <v>0.09</v>
      </c>
      <c r="L25">
        <v>0.09</v>
      </c>
      <c r="M25" t="s">
        <v>354</v>
      </c>
      <c r="N25" s="163" t="str">
        <f t="shared" si="0"/>
        <v>public override ParameterTimeSeries&lt;Dimensionless&gt; BEV_Residual_value_at_end_of_life_ratio { get; } = new ParameterTimeSeries&lt;Dimensionless&gt; { 0.09f, 0.09f, 0.09f, 0.09f, 0.09f, 0.09f, 0.09f };</v>
      </c>
    </row>
    <row r="26" spans="1:14" x14ac:dyDescent="0.35">
      <c r="A26" t="str">
        <v>BEV_Energy_consumption_kWh_per_km</v>
      </c>
      <c r="B26" t="str">
        <v>HGV60</v>
      </c>
      <c r="C26" t="str">
        <v>BEV</v>
      </c>
      <c r="D26" t="str">
        <v>Energy consumption</v>
      </c>
      <c r="E26" t="str">
        <v>kWh per km</v>
      </c>
      <c r="F26">
        <v>1.4573061176470585</v>
      </c>
      <c r="G26">
        <v>1.4141084259707974</v>
      </c>
      <c r="H26">
        <v>1.3721912069032494</v>
      </c>
      <c r="I26">
        <v>1.3315165044787591</v>
      </c>
      <c r="J26">
        <v>1.2920474878282322</v>
      </c>
      <c r="K26">
        <v>1.2537484178288505</v>
      </c>
      <c r="L26">
        <v>1.2165846147423616</v>
      </c>
      <c r="M26" t="s">
        <v>355</v>
      </c>
      <c r="N26" s="163" t="str">
        <f t="shared" si="0"/>
        <v>public override ParameterTimeSeries&lt;KiloWattHoursPerKilometer&gt; BEV_Energy_consumption_kWh_per_km { get; } = new ParameterTimeSeries&lt;KiloWattHoursPerKilometer&gt; { 1.45730611764706f, 1.4141084259708f, 1.37219120690325f, 1.33151650447876f, 1.29204748782823f, 1.25374841782885f, 1.21658461474236f };</v>
      </c>
    </row>
    <row r="27" spans="1:14" x14ac:dyDescent="0.35">
      <c r="A27" t="str">
        <v>BEV_Min_range_buffer_km</v>
      </c>
      <c r="B27" t="str">
        <v>HGV60</v>
      </c>
      <c r="C27" t="str">
        <v>BEV</v>
      </c>
      <c r="D27" t="str">
        <v>Min range buffer</v>
      </c>
      <c r="E27" t="str">
        <v>km</v>
      </c>
      <c r="F27">
        <v>50</v>
      </c>
      <c r="G27">
        <v>50</v>
      </c>
      <c r="H27">
        <v>50</v>
      </c>
      <c r="I27">
        <v>50</v>
      </c>
      <c r="J27">
        <v>50</v>
      </c>
      <c r="K27">
        <v>50</v>
      </c>
      <c r="L27">
        <v>50</v>
      </c>
      <c r="M27" t="s">
        <v>342</v>
      </c>
      <c r="N27" s="163" t="str">
        <f t="shared" si="0"/>
        <v>public override ParameterTimeSeries&lt;Kilometers&gt; BEV_Min_range_buffer_km { get; } = new ParameterTimeSeries&lt;Kilometers&gt; { 50f, 50f, 50f, 50f, 50f, 50f, 50f };</v>
      </c>
    </row>
    <row r="28" spans="1:14" x14ac:dyDescent="0.35">
      <c r="A28" t="str">
        <v>BEV_Lifetime_years</v>
      </c>
      <c r="B28" t="str">
        <v>HGV60</v>
      </c>
      <c r="C28" t="str">
        <v>BEV</v>
      </c>
      <c r="D28" t="str">
        <v>Lifetime</v>
      </c>
      <c r="E28" t="str">
        <v>years</v>
      </c>
      <c r="F28">
        <v>10</v>
      </c>
      <c r="G28">
        <v>11.666666666666666</v>
      </c>
      <c r="H28">
        <v>13.333333333333334</v>
      </c>
      <c r="I28">
        <v>15</v>
      </c>
      <c r="J28">
        <v>15</v>
      </c>
      <c r="K28">
        <v>15</v>
      </c>
      <c r="L28">
        <v>15</v>
      </c>
      <c r="M28" t="s">
        <v>350</v>
      </c>
      <c r="N28" s="163" t="str">
        <f t="shared" si="0"/>
        <v>public override ParameterTimeSeries&lt;Years&gt; BEV_Lifetime_years { get; } = new ParameterTimeSeries&lt;Years&gt; { 10f, 11.6666666666667f, 13.3333333333333f, 15f, 15f, 15f, 15f };</v>
      </c>
    </row>
    <row r="29" spans="1:14" x14ac:dyDescent="0.35">
      <c r="A29" t="str">
        <v>ICEV_Chassis_cost_euro</v>
      </c>
      <c r="B29" t="str">
        <v>HGV60</v>
      </c>
      <c r="C29" t="str">
        <v>ICEV</v>
      </c>
      <c r="D29" t="str">
        <v>Chassis cost</v>
      </c>
      <c r="E29" t="str">
        <v>euro</v>
      </c>
      <c r="F29">
        <v>259200</v>
      </c>
      <c r="G29">
        <v>262736.7838640855</v>
      </c>
      <c r="H29">
        <v>266453.97925027087</v>
      </c>
      <c r="I29">
        <v>270360.78895933705</v>
      </c>
      <c r="J29">
        <v>274466.88522739388</v>
      </c>
      <c r="K29">
        <v>278782.43367179972</v>
      </c>
      <c r="L29">
        <v>283318.11845856369</v>
      </c>
      <c r="M29" t="s">
        <v>349</v>
      </c>
      <c r="N29" s="163" t="str">
        <f t="shared" si="0"/>
        <v>public override ParameterTimeSeries&lt;Euro&gt; ICEV_Chassis_cost_euro { get; } = new ParameterTimeSeries&lt;Euro&gt; { 259200f, 262736.783864086f, 266453.979250271f, 270360.788959337f, 274466.885227394f, 278782.4336718f, 283318.118458564f };</v>
      </c>
    </row>
    <row r="30" spans="1:14" x14ac:dyDescent="0.35">
      <c r="A30" t="str">
        <v>BEV_Chassis_weight_excl_battery_kg</v>
      </c>
      <c r="B30" t="str">
        <v>HGV60</v>
      </c>
      <c r="C30" t="str">
        <v>BEV</v>
      </c>
      <c r="D30" t="str">
        <v>Chassis weight, excl battery</v>
      </c>
      <c r="E30" t="str">
        <v>kg</v>
      </c>
      <c r="F30">
        <v>17780</v>
      </c>
      <c r="G30">
        <v>17780</v>
      </c>
      <c r="H30">
        <v>17780</v>
      </c>
      <c r="I30">
        <v>17780</v>
      </c>
      <c r="J30">
        <v>17780</v>
      </c>
      <c r="K30">
        <v>17780</v>
      </c>
      <c r="L30">
        <v>17780</v>
      </c>
      <c r="M30" t="s">
        <v>347</v>
      </c>
      <c r="N30" s="163" t="str">
        <f t="shared" si="0"/>
        <v>public override ParameterTimeSeries&lt;Kilogram&gt; BEV_Chassis_weight_excl_battery_kg { get; } = new ParameterTimeSeries&lt;Kilogram&gt; { 17780f, 17780f, 17780f, 17780f, 17780f, 17780f, 17780f };</v>
      </c>
    </row>
    <row r="31" spans="1:14" x14ac:dyDescent="0.35">
      <c r="A31" t="str">
        <v>BEV_Chassis_cost_excl_battery_euro</v>
      </c>
      <c r="B31" t="str">
        <v>HGV60</v>
      </c>
      <c r="C31" t="str">
        <v>BEV</v>
      </c>
      <c r="D31" t="str">
        <v>Chassis cost, excl battery</v>
      </c>
      <c r="E31" t="str">
        <v>euro</v>
      </c>
      <c r="F31">
        <v>215794.56</v>
      </c>
      <c r="G31">
        <v>213303.2646927053</v>
      </c>
      <c r="H31">
        <v>211051.33105347131</v>
      </c>
      <c r="I31">
        <v>209015.76140395424</v>
      </c>
      <c r="J31">
        <v>207175.76766442088</v>
      </c>
      <c r="K31">
        <v>205512.55905727489</v>
      </c>
      <c r="L31">
        <v>204009.15020785888</v>
      </c>
      <c r="M31" t="s">
        <v>349</v>
      </c>
      <c r="N31" s="163" t="str">
        <f t="shared" si="0"/>
        <v>public override ParameterTimeSeries&lt;Euro&gt; BEV_Chassis_cost_excl_battery_euro { get; } = new ParameterTimeSeries&lt;Euro&gt; { 215794.56f, 213303.264692705f, 211051.331053471f, 209015.761403954f, 207175.767664421f, 205512.559057275f, 204009.150207859f };</v>
      </c>
    </row>
    <row r="32" spans="1:14" x14ac:dyDescent="0.35">
      <c r="A32" t="str">
        <v>BEV_Min_net_battery_capacity_kWh</v>
      </c>
      <c r="B32" t="str">
        <v>HGV60</v>
      </c>
      <c r="C32" t="str">
        <v>BEV</v>
      </c>
      <c r="D32" t="str">
        <v>Min net battery capacity</v>
      </c>
      <c r="E32" t="str">
        <v>kWh</v>
      </c>
      <c r="F32">
        <v>216.66666666666669</v>
      </c>
      <c r="G32">
        <v>226.02995435882167</v>
      </c>
      <c r="H32">
        <v>205.48410135118033</v>
      </c>
      <c r="I32">
        <v>176.99056023985628</v>
      </c>
      <c r="J32">
        <v>148.80116058437957</v>
      </c>
      <c r="K32">
        <v>123.67132074310364</v>
      </c>
      <c r="L32">
        <v>102.21085008598016</v>
      </c>
      <c r="M32" t="s">
        <v>356</v>
      </c>
      <c r="N32" s="163" t="str">
        <f t="shared" si="0"/>
        <v>public override ParameterTimeSeries&lt;KiloWattHours&gt; BEV_Min_net_battery_capacity_kWh { get; } = new ParameterTimeSeries&lt;KiloWattHours&gt; { 216.666666666667f, 226.029954358822f, 205.48410135118f, 176.990560239856f, 148.80116058438f, 123.671320743104f, 102.21085008598f };</v>
      </c>
    </row>
    <row r="33" spans="1:14" x14ac:dyDescent="0.35">
      <c r="A33" t="str">
        <v>_</v>
      </c>
      <c r="B33" s="4" t="s">
        <v>324</v>
      </c>
      <c r="N33" s="163" t="str">
        <f t="shared" si="0"/>
        <v>} public class HGV40Internal : VehicleType {</v>
      </c>
    </row>
    <row r="34" spans="1:14" x14ac:dyDescent="0.35">
      <c r="A34" t="str">
        <v>Common_Annual_distance_km</v>
      </c>
      <c r="B34" t="str" cm="1">
        <f t="array" ref="B34:L62">vehicles!A84:K112</f>
        <v>HGV40</v>
      </c>
      <c r="C34" t="str">
        <v>Common</v>
      </c>
      <c r="D34" t="str">
        <v>Annual distance</v>
      </c>
      <c r="E34" t="str">
        <v>km</v>
      </c>
      <c r="F34">
        <v>115000</v>
      </c>
      <c r="G34">
        <v>115000</v>
      </c>
      <c r="H34">
        <v>115000</v>
      </c>
      <c r="I34">
        <v>115000</v>
      </c>
      <c r="J34">
        <v>115000</v>
      </c>
      <c r="K34">
        <v>115000</v>
      </c>
      <c r="L34">
        <v>115000</v>
      </c>
      <c r="M34" t="str" cm="1">
        <f t="array" ref="M34:M62">M4:M32</f>
        <v>KilometersPerYear</v>
      </c>
      <c r="N34" s="163" t="str">
        <f t="shared" si="0"/>
        <v>public override ParameterTimeSeries&lt;KilometersPerYear&gt; Common_Annual_distance_km { get; } = new ParameterTimeSeries&lt;KilometersPerYear&gt; { 115000f, 115000f, 115000f, 115000f, 115000f, 115000f, 115000f };</v>
      </c>
    </row>
    <row r="35" spans="1:14" x14ac:dyDescent="0.35">
      <c r="A35" t="str">
        <v>Common_Utilization_calendar_days_per_year</v>
      </c>
      <c r="B35" t="str">
        <v>HGV40</v>
      </c>
      <c r="C35" t="str">
        <v>Common</v>
      </c>
      <c r="D35" t="str">
        <v>Utilization</v>
      </c>
      <c r="E35" t="str">
        <v>calendar days per year</v>
      </c>
      <c r="F35">
        <v>230</v>
      </c>
      <c r="G35">
        <v>230</v>
      </c>
      <c r="H35">
        <v>230</v>
      </c>
      <c r="I35">
        <v>230</v>
      </c>
      <c r="J35">
        <v>230</v>
      </c>
      <c r="K35">
        <v>230</v>
      </c>
      <c r="L35">
        <v>230</v>
      </c>
      <c r="M35" t="str">
        <v>Dimensionless</v>
      </c>
      <c r="N35" s="163" t="str">
        <f t="shared" si="0"/>
        <v>public override ParameterTimeSeries&lt;Dimensionless&gt; Common_Utilization_calendar_days_per_year { get; } = new ParameterTimeSeries&lt;Dimensionless&gt; { 230f, 230f, 230f, 230f, 230f, 230f, 230f };</v>
      </c>
    </row>
    <row r="36" spans="1:14" x14ac:dyDescent="0.35">
      <c r="A36" t="str">
        <v>Common_Max_time_in_transit_h_per_day</v>
      </c>
      <c r="B36" t="str">
        <v>HGV40</v>
      </c>
      <c r="C36" t="str">
        <v>Common</v>
      </c>
      <c r="D36" t="str">
        <v>Max time in transit</v>
      </c>
      <c r="E36" t="str">
        <v>h per day</v>
      </c>
      <c r="F36">
        <v>11</v>
      </c>
      <c r="G36">
        <v>11</v>
      </c>
      <c r="H36">
        <v>11</v>
      </c>
      <c r="I36">
        <v>11</v>
      </c>
      <c r="J36">
        <v>11</v>
      </c>
      <c r="K36">
        <v>11</v>
      </c>
      <c r="L36">
        <v>11</v>
      </c>
      <c r="M36" t="str">
        <v>Hours</v>
      </c>
      <c r="N36" s="163" t="str">
        <f>IF(C36="",IF(B35="","","} ")&amp;IF(B38="","","public class "&amp;B36&amp;" {"),"public override ParameterTimeSeries&lt;"&amp;M36&amp;"&gt; "&amp;A36&amp;" { get; } = new ParameterTimeSeries&lt;"&amp;M36&amp;"&gt; { "&amp;_xlfn.TEXTJOIN("f, ",TRUE,F36:L36)&amp;"f };")</f>
        <v>public override ParameterTimeSeries&lt;Hours&gt; Common_Max_time_in_transit_h_per_day { get; } = new ParameterTimeSeries&lt;Hours&gt; { 11f, 11f, 11f, 11f, 11f, 11f, 11f };</v>
      </c>
    </row>
    <row r="37" spans="1:14" x14ac:dyDescent="0.35">
      <c r="A37" t="str">
        <v>Common_Max_time_in_use_h_per_day</v>
      </c>
      <c r="B37" t="str">
        <v>HGV40</v>
      </c>
      <c r="C37" t="str">
        <v>Common</v>
      </c>
      <c r="D37" t="str">
        <v>Max time in use</v>
      </c>
      <c r="E37" t="str">
        <v>h per day</v>
      </c>
      <c r="F37">
        <v>15</v>
      </c>
      <c r="G37">
        <v>15</v>
      </c>
      <c r="H37">
        <v>15</v>
      </c>
      <c r="I37">
        <v>15</v>
      </c>
      <c r="J37">
        <v>15</v>
      </c>
      <c r="K37">
        <v>15</v>
      </c>
      <c r="L37">
        <v>15</v>
      </c>
      <c r="M37" t="str">
        <v>Hours</v>
      </c>
      <c r="N37" s="163" t="str">
        <f>IF(C37="",IF(B36="","","} ")&amp;IF(B39="","","public class "&amp;B37&amp;" {"),"public override ParameterTimeSeries&lt;"&amp;M37&amp;"&gt; "&amp;A37&amp;" { get; } = new ParameterTimeSeries&lt;"&amp;M37&amp;"&gt; { "&amp;_xlfn.TEXTJOIN("f, ",TRUE,F37:L37)&amp;"f };")</f>
        <v>public override ParameterTimeSeries&lt;Hours&gt; Common_Max_time_in_use_h_per_day { get; } = new ParameterTimeSeries&lt;Hours&gt; { 15f, 15f, 15f, 15f, 15f, 15f, 15f };</v>
      </c>
    </row>
    <row r="38" spans="1:14" x14ac:dyDescent="0.35">
      <c r="A38" t="str">
        <v>Common_Power_peak_kW</v>
      </c>
      <c r="B38" t="str">
        <v>HGV40</v>
      </c>
      <c r="C38" t="str">
        <v>Common</v>
      </c>
      <c r="D38" t="str">
        <v>Power, peak</v>
      </c>
      <c r="E38" t="str">
        <v>kW</v>
      </c>
      <c r="F38">
        <v>550</v>
      </c>
      <c r="G38">
        <v>550</v>
      </c>
      <c r="H38">
        <v>550</v>
      </c>
      <c r="I38">
        <v>550</v>
      </c>
      <c r="J38">
        <v>550</v>
      </c>
      <c r="K38">
        <v>550</v>
      </c>
      <c r="L38">
        <v>550</v>
      </c>
      <c r="M38" t="str">
        <v>KiloWatts</v>
      </c>
      <c r="N38" s="163" t="str">
        <f>IF(C38="",IF(B36="","","} ")&amp;IF(B39="","","public class "&amp;B38&amp;" {"),"public override ParameterTimeSeries&lt;"&amp;M38&amp;"&gt; "&amp;A38&amp;" { get; } = new ParameterTimeSeries&lt;"&amp;M38&amp;"&gt; { "&amp;_xlfn.TEXTJOIN("f, ",TRUE,F38:L38)&amp;"f };")</f>
        <v>public override ParameterTimeSeries&lt;KiloWatts&gt; Common_Power_peak_kW { get; } = new ParameterTimeSeries&lt;KiloWatts&gt; { 550f, 550f, 550f, 550f, 550f, 550f, 550f };</v>
      </c>
    </row>
    <row r="39" spans="1:14" x14ac:dyDescent="0.35">
      <c r="A39" t="str">
        <v>Common_Tyres_euro_per_km</v>
      </c>
      <c r="B39" t="str">
        <v>HGV40</v>
      </c>
      <c r="C39" t="str">
        <v>Common</v>
      </c>
      <c r="D39" t="str">
        <v>Tyres</v>
      </c>
      <c r="E39" t="str">
        <v>euro per km</v>
      </c>
      <c r="F39">
        <v>9.0240000000000001E-2</v>
      </c>
      <c r="G39">
        <v>9.0240000000000001E-2</v>
      </c>
      <c r="H39">
        <v>9.0240000000000001E-2</v>
      </c>
      <c r="I39">
        <v>9.0240000000000001E-2</v>
      </c>
      <c r="J39">
        <v>9.0240000000000001E-2</v>
      </c>
      <c r="K39">
        <v>9.0240000000000001E-2</v>
      </c>
      <c r="L39">
        <v>9.0240000000000001E-2</v>
      </c>
      <c r="M39" t="str">
        <v>EuroPerKilometer</v>
      </c>
      <c r="N39" s="163" t="str">
        <f t="shared" si="0"/>
        <v>public override ParameterTimeSeries&lt;EuroPerKilometer&gt; Common_Tyres_euro_per_km { get; } = new ParameterTimeSeries&lt;EuroPerKilometer&gt; { 0.09024f, 0.09024f, 0.09024f, 0.09024f, 0.09024f, 0.09024f, 0.09024f };</v>
      </c>
    </row>
    <row r="40" spans="1:14" x14ac:dyDescent="0.35">
      <c r="A40" t="str">
        <v>Common_Cargo_capacity_value_euro_per_ton_km</v>
      </c>
      <c r="B40" t="str">
        <v>HGV40</v>
      </c>
      <c r="C40" t="str">
        <v>Common</v>
      </c>
      <c r="D40" t="str">
        <v>Cargo capacity value</v>
      </c>
      <c r="E40" t="str">
        <v>euro per ton-km</v>
      </c>
      <c r="F40">
        <v>2.5000000000000001E-2</v>
      </c>
      <c r="G40">
        <v>2.5000000000000001E-2</v>
      </c>
      <c r="H40">
        <v>2.5000000000000001E-2</v>
      </c>
      <c r="I40">
        <v>2.5000000000000001E-2</v>
      </c>
      <c r="J40">
        <v>2.5000000000000001E-2</v>
      </c>
      <c r="K40">
        <v>2.5000000000000001E-2</v>
      </c>
      <c r="L40">
        <v>2.5000000000000001E-2</v>
      </c>
      <c r="M40" t="str">
        <v>EuroPerTonKilometer</v>
      </c>
      <c r="N40" s="163" t="str">
        <f t="shared" si="0"/>
        <v>public override ParameterTimeSeries&lt;EuroPerTonKilometer&gt; Common_Cargo_capacity_value_euro_per_ton_km { get; } = new ParameterTimeSeries&lt;EuroPerTonKilometer&gt; { 0.025f, 0.025f, 0.025f, 0.025f, 0.025f, 0.025f, 0.025f };</v>
      </c>
    </row>
    <row r="41" spans="1:14" x14ac:dyDescent="0.35">
      <c r="A41" t="str">
        <v>Common_Cargo_capacity_value_euro_per_m3_km</v>
      </c>
      <c r="B41" t="str">
        <v>HGV40</v>
      </c>
      <c r="C41" t="str">
        <v>Common</v>
      </c>
      <c r="D41" t="str">
        <v>Cargo capacity value</v>
      </c>
      <c r="E41" t="str">
        <v>euro per m3-km</v>
      </c>
      <c r="F41">
        <v>7.000000000000001E-3</v>
      </c>
      <c r="G41">
        <v>7.000000000000001E-3</v>
      </c>
      <c r="H41">
        <v>7.000000000000001E-3</v>
      </c>
      <c r="I41">
        <v>7.000000000000001E-3</v>
      </c>
      <c r="J41">
        <v>7.000000000000001E-3</v>
      </c>
      <c r="K41">
        <v>7.000000000000001E-3</v>
      </c>
      <c r="L41">
        <v>7.000000000000001E-3</v>
      </c>
      <c r="M41" t="str">
        <v>EuroPerCubicMeter</v>
      </c>
      <c r="N41" s="163" t="str">
        <f t="shared" si="0"/>
        <v>public override ParameterTimeSeries&lt;EuroPerCubicMeter&gt; Common_Cargo_capacity_value_euro_per_m3_km { get; } = new ParameterTimeSeries&lt;EuroPerCubicMeter&gt; { 0.007f, 0.007f, 0.007f, 0.007f, 0.007f, 0.007f, 0.007f };</v>
      </c>
    </row>
    <row r="42" spans="1:14" x14ac:dyDescent="0.35">
      <c r="A42" t="str">
        <v>Common_Total_weight_limit_kg</v>
      </c>
      <c r="B42" t="str">
        <v>HGV40</v>
      </c>
      <c r="C42" t="str">
        <v>Common</v>
      </c>
      <c r="D42" t="str">
        <v>Total weight limit</v>
      </c>
      <c r="E42" t="str">
        <v>kg</v>
      </c>
      <c r="F42">
        <v>40000</v>
      </c>
      <c r="G42">
        <v>40000</v>
      </c>
      <c r="H42">
        <v>40000</v>
      </c>
      <c r="I42">
        <v>40000</v>
      </c>
      <c r="J42">
        <v>40000</v>
      </c>
      <c r="K42">
        <v>40000</v>
      </c>
      <c r="L42">
        <v>40000</v>
      </c>
      <c r="M42" t="str">
        <v>Kilogram</v>
      </c>
      <c r="N42" s="163" t="str">
        <f t="shared" si="0"/>
        <v>public override ParameterTimeSeries&lt;Kilogram&gt; Common_Total_weight_limit_kg { get; } = new ParameterTimeSeries&lt;Kilogram&gt; { 40000f, 40000f, 40000f, 40000f, 40000f, 40000f, 40000f };</v>
      </c>
    </row>
    <row r="43" spans="1:14" x14ac:dyDescent="0.35">
      <c r="A43" t="str">
        <v>Common_Depot_stop_h</v>
      </c>
      <c r="B43" t="str">
        <v>HGV40</v>
      </c>
      <c r="C43" t="str">
        <v>Common</v>
      </c>
      <c r="D43" t="str">
        <v>Depot stop</v>
      </c>
      <c r="E43" t="str">
        <v>h</v>
      </c>
      <c r="F43">
        <v>9</v>
      </c>
      <c r="G43">
        <v>9</v>
      </c>
      <c r="H43">
        <v>9</v>
      </c>
      <c r="I43">
        <v>9</v>
      </c>
      <c r="J43">
        <v>9</v>
      </c>
      <c r="K43">
        <v>9</v>
      </c>
      <c r="L43">
        <v>9</v>
      </c>
      <c r="M43" t="str">
        <v>Hours</v>
      </c>
      <c r="N43" s="163" t="str">
        <f t="shared" si="0"/>
        <v>public override ParameterTimeSeries&lt;Hours&gt; Common_Depot_stop_h { get; } = new ParameterTimeSeries&lt;Hours&gt; { 9f, 9f, 9f, 9f, 9f, 9f, 9f };</v>
      </c>
    </row>
    <row r="44" spans="1:14" x14ac:dyDescent="0.35">
      <c r="A44" t="str">
        <v>Common_Destination_stop_h</v>
      </c>
      <c r="B44" t="str">
        <v>HGV40</v>
      </c>
      <c r="C44" t="str">
        <v>Common</v>
      </c>
      <c r="D44" t="str">
        <v>Destination stop</v>
      </c>
      <c r="E44" t="str">
        <v>h</v>
      </c>
      <c r="F44">
        <v>1</v>
      </c>
      <c r="G44">
        <v>1</v>
      </c>
      <c r="H44">
        <v>1</v>
      </c>
      <c r="I44">
        <v>1</v>
      </c>
      <c r="J44">
        <v>1</v>
      </c>
      <c r="K44">
        <v>1</v>
      </c>
      <c r="L44">
        <v>1</v>
      </c>
      <c r="M44" t="str">
        <v>Hours</v>
      </c>
      <c r="N44" s="163" t="str">
        <f t="shared" si="0"/>
        <v>public override ParameterTimeSeries&lt;Hours&gt; Common_Destination_stop_h { get; } = new ParameterTimeSeries&lt;Hours&gt; { 1f, 1f, 1f, 1f, 1f, 1f, 1f };</v>
      </c>
    </row>
    <row r="45" spans="1:14" x14ac:dyDescent="0.35">
      <c r="A45" t="str">
        <v>Common_Rest_stop_h</v>
      </c>
      <c r="B45" t="str">
        <v>HGV40</v>
      </c>
      <c r="C45" t="str">
        <v>Common</v>
      </c>
      <c r="D45" t="str">
        <v>Rest stop</v>
      </c>
      <c r="E45" t="str">
        <v>h</v>
      </c>
      <c r="F45">
        <v>0.75</v>
      </c>
      <c r="G45">
        <v>0.75</v>
      </c>
      <c r="H45">
        <v>0.75</v>
      </c>
      <c r="I45">
        <v>0.75</v>
      </c>
      <c r="J45">
        <v>0.75</v>
      </c>
      <c r="K45">
        <v>0.75</v>
      </c>
      <c r="L45">
        <v>0.75</v>
      </c>
      <c r="M45" t="str">
        <v>Hours</v>
      </c>
      <c r="N45" s="163" t="str">
        <f t="shared" si="0"/>
        <v>public override ParameterTimeSeries&lt;Hours&gt; Common_Rest_stop_h { get; } = new ParameterTimeSeries&lt;Hours&gt; { 0.75f, 0.75f, 0.75f, 0.75f, 0.75f, 0.75f, 0.75f };</v>
      </c>
    </row>
    <row r="46" spans="1:14" x14ac:dyDescent="0.35">
      <c r="A46" t="str">
        <v>Common_Drive_session_h</v>
      </c>
      <c r="B46" t="str">
        <v>HGV40</v>
      </c>
      <c r="C46" t="str">
        <v>Common</v>
      </c>
      <c r="D46" t="str">
        <v>Drive session</v>
      </c>
      <c r="E46" t="str">
        <v>h</v>
      </c>
      <c r="F46">
        <v>4.5</v>
      </c>
      <c r="G46">
        <v>4.5</v>
      </c>
      <c r="H46">
        <v>4.5</v>
      </c>
      <c r="I46">
        <v>4.5</v>
      </c>
      <c r="J46">
        <v>4.5</v>
      </c>
      <c r="K46">
        <v>4.5</v>
      </c>
      <c r="L46">
        <v>4.5</v>
      </c>
      <c r="M46" t="str">
        <v>Hours</v>
      </c>
      <c r="N46" s="163" t="str">
        <f t="shared" si="0"/>
        <v>public override ParameterTimeSeries&lt;Hours&gt; Common_Drive_session_h { get; } = new ParameterTimeSeries&lt;Hours&gt; { 4.5f, 4.5f, 4.5f, 4.5f, 4.5f, 4.5f, 4.5f };</v>
      </c>
    </row>
    <row r="47" spans="1:14" x14ac:dyDescent="0.35">
      <c r="A47" t="str">
        <v>Common_Driver_cost_euro_per_h</v>
      </c>
      <c r="B47" t="str">
        <v>HGV40</v>
      </c>
      <c r="C47" t="str">
        <v>Common</v>
      </c>
      <c r="D47" t="str">
        <v>Driver cost</v>
      </c>
      <c r="E47" t="str">
        <v>euro per h</v>
      </c>
      <c r="F47">
        <v>33.6</v>
      </c>
      <c r="G47">
        <v>33.6</v>
      </c>
      <c r="H47">
        <v>33.6</v>
      </c>
      <c r="I47">
        <v>33.6</v>
      </c>
      <c r="J47">
        <v>33.6</v>
      </c>
      <c r="K47">
        <v>33.6</v>
      </c>
      <c r="L47">
        <v>33.6</v>
      </c>
      <c r="M47" t="str">
        <v>EuroPerHour</v>
      </c>
      <c r="N47" s="163" t="str">
        <f t="shared" si="0"/>
        <v>public override ParameterTimeSeries&lt;EuroPerHour&gt; Common_Driver_cost_euro_per_h { get; } = new ParameterTimeSeries&lt;EuroPerHour&gt; { 33.6f, 33.6f, 33.6f, 33.6f, 33.6f, 33.6f, 33.6f };</v>
      </c>
    </row>
    <row r="48" spans="1:14" x14ac:dyDescent="0.35">
      <c r="A48" t="str">
        <v>ICEV_Chassis_weight_kg</v>
      </c>
      <c r="B48" t="str">
        <v>HGV40</v>
      </c>
      <c r="C48" t="str">
        <v>ICEV</v>
      </c>
      <c r="D48" t="str">
        <v>Chassis weight</v>
      </c>
      <c r="E48" t="str">
        <v>kg</v>
      </c>
      <c r="F48">
        <v>20000</v>
      </c>
      <c r="G48">
        <v>20000</v>
      </c>
      <c r="H48">
        <v>20000</v>
      </c>
      <c r="I48">
        <v>20000</v>
      </c>
      <c r="J48">
        <v>20000</v>
      </c>
      <c r="K48">
        <v>20000</v>
      </c>
      <c r="L48">
        <v>20000</v>
      </c>
      <c r="M48" t="str">
        <v>Kilogram</v>
      </c>
      <c r="N48" s="163" t="str">
        <f t="shared" si="0"/>
        <v>public override ParameterTimeSeries&lt;Kilogram&gt; ICEV_Chassis_weight_kg { get; } = new ParameterTimeSeries&lt;Kilogram&gt; { 20000f, 20000f, 20000f, 20000f, 20000f, 20000f, 20000f };</v>
      </c>
    </row>
    <row r="49" spans="1:14" x14ac:dyDescent="0.35">
      <c r="A49" t="str">
        <v>ICEV_Chassis_cost_2020_euro</v>
      </c>
      <c r="B49" t="str">
        <v>HGV40</v>
      </c>
      <c r="C49" t="str">
        <v>ICEV</v>
      </c>
      <c r="D49" t="str">
        <v>Chassis cost, 2020</v>
      </c>
      <c r="E49" t="str">
        <v>euro</v>
      </c>
      <c r="F49">
        <v>235200</v>
      </c>
      <c r="G49">
        <v>235200</v>
      </c>
      <c r="H49">
        <v>235200</v>
      </c>
      <c r="I49">
        <v>235200</v>
      </c>
      <c r="J49">
        <v>235200</v>
      </c>
      <c r="K49">
        <v>235200</v>
      </c>
      <c r="L49">
        <v>235200</v>
      </c>
      <c r="M49" t="str">
        <v>Euro</v>
      </c>
      <c r="N49" s="163" t="str">
        <f t="shared" si="0"/>
        <v>public override ParameterTimeSeries&lt;Euro&gt; ICEV_Chassis_cost_2020_euro { get; } = new ParameterTimeSeries&lt;Euro&gt; { 235200f, 235200f, 235200f, 235200f, 235200f, 235200f, 235200f };</v>
      </c>
    </row>
    <row r="50" spans="1:14" x14ac:dyDescent="0.35">
      <c r="A50" t="str">
        <v>ICEV_Lifetime_years</v>
      </c>
      <c r="B50" t="str">
        <v>HGV40</v>
      </c>
      <c r="C50" t="str">
        <v>ICEV</v>
      </c>
      <c r="D50" t="str">
        <v>Lifetime</v>
      </c>
      <c r="E50" t="str">
        <v>years</v>
      </c>
      <c r="F50">
        <v>10</v>
      </c>
      <c r="G50">
        <v>10</v>
      </c>
      <c r="H50">
        <v>10</v>
      </c>
      <c r="I50">
        <v>10</v>
      </c>
      <c r="J50">
        <v>10</v>
      </c>
      <c r="K50">
        <v>10</v>
      </c>
      <c r="L50">
        <v>10</v>
      </c>
      <c r="M50" t="str">
        <v>Years</v>
      </c>
      <c r="N50" s="163" t="str">
        <f t="shared" si="0"/>
        <v>public override ParameterTimeSeries&lt;Years&gt; ICEV_Lifetime_years { get; } = new ParameterTimeSeries&lt;Years&gt; { 10f, 10f, 10f, 10f, 10f, 10f, 10f };</v>
      </c>
    </row>
    <row r="51" spans="1:14" x14ac:dyDescent="0.35">
      <c r="A51" t="str">
        <v>ICEV_Maintenance_cost_euro_per_km</v>
      </c>
      <c r="B51" t="str">
        <v>HGV40</v>
      </c>
      <c r="C51" t="str">
        <v>ICEV</v>
      </c>
      <c r="D51" t="str">
        <v>Maintenance cost</v>
      </c>
      <c r="E51" t="str">
        <v>euro per km</v>
      </c>
      <c r="F51">
        <v>0.11423999999999999</v>
      </c>
      <c r="G51">
        <v>0.11423999999999999</v>
      </c>
      <c r="H51">
        <v>0.11423999999999999</v>
      </c>
      <c r="I51">
        <v>0.11423999999999999</v>
      </c>
      <c r="J51">
        <v>0.11423999999999999</v>
      </c>
      <c r="K51">
        <v>0.11423999999999999</v>
      </c>
      <c r="L51">
        <v>0.11423999999999999</v>
      </c>
      <c r="M51" t="str">
        <v>EuroPerKilometer</v>
      </c>
      <c r="N51" s="163" t="str">
        <f t="shared" si="0"/>
        <v>public override ParameterTimeSeries&lt;EuroPerKilometer&gt; ICEV_Maintenance_cost_euro_per_km { get; } = new ParameterTimeSeries&lt;EuroPerKilometer&gt; { 0.11424f, 0.11424f, 0.11424f, 0.11424f, 0.11424f, 0.11424f, 0.11424f };</v>
      </c>
    </row>
    <row r="52" spans="1:14" x14ac:dyDescent="0.35">
      <c r="A52" t="str">
        <v>ICEV_Residual_value_at_end_of_life_ratio</v>
      </c>
      <c r="B52" t="str">
        <v>HGV40</v>
      </c>
      <c r="C52" t="str">
        <v>ICEV</v>
      </c>
      <c r="D52" t="str">
        <v>Residual value at end of life</v>
      </c>
      <c r="E52" t="str">
        <v>ratio</v>
      </c>
      <c r="F52">
        <v>0.09</v>
      </c>
      <c r="G52">
        <v>0.09</v>
      </c>
      <c r="H52">
        <v>0.09</v>
      </c>
      <c r="I52">
        <v>0.09</v>
      </c>
      <c r="J52">
        <v>0.09</v>
      </c>
      <c r="K52">
        <v>0.09</v>
      </c>
      <c r="L52">
        <v>0.09</v>
      </c>
      <c r="M52" t="str">
        <v>Dimensionless</v>
      </c>
      <c r="N52" s="163" t="str">
        <f t="shared" si="0"/>
        <v>public override ParameterTimeSeries&lt;Dimensionless&gt; ICEV_Residual_value_at_end_of_life_ratio { get; } = new ParameterTimeSeries&lt;Dimensionless&gt; { 0.09f, 0.09f, 0.09f, 0.09f, 0.09f, 0.09f, 0.09f };</v>
      </c>
    </row>
    <row r="53" spans="1:14" x14ac:dyDescent="0.35">
      <c r="A53" t="str">
        <v>ICEV_Fuel_consumption_liter_per_km</v>
      </c>
      <c r="B53" t="str">
        <v>HGV40</v>
      </c>
      <c r="C53" t="str">
        <v>ICEV</v>
      </c>
      <c r="D53" t="str">
        <v>Fuel consumption</v>
      </c>
      <c r="E53" t="str">
        <v>liter per km</v>
      </c>
      <c r="F53">
        <v>0.27</v>
      </c>
      <c r="G53">
        <v>0.26331716334290628</v>
      </c>
      <c r="H53">
        <v>0.25679973522575844</v>
      </c>
      <c r="I53">
        <v>0.25044362158094857</v>
      </c>
      <c r="J53">
        <v>0.24424482967414682</v>
      </c>
      <c r="K53">
        <v>0.23819946559617644</v>
      </c>
      <c r="L53">
        <v>0.23230373181696803</v>
      </c>
      <c r="M53" t="str">
        <v>LiterPerKilometer</v>
      </c>
      <c r="N53" s="163" t="str">
        <f t="shared" si="0"/>
        <v>public override ParameterTimeSeries&lt;LiterPerKilometer&gt; ICEV_Fuel_consumption_liter_per_km { get; } = new ParameterTimeSeries&lt;LiterPerKilometer&gt; { 0.27f, 0.263317163342906f, 0.256799735225758f, 0.250443621580949f, 0.244244829674147f, 0.238199465596176f, 0.232303731816968f };</v>
      </c>
    </row>
    <row r="54" spans="1:14" x14ac:dyDescent="0.35">
      <c r="A54" t="str">
        <v>BEV_Maintenance_cost_euro_per_km</v>
      </c>
      <c r="B54" t="str">
        <v>HGV40</v>
      </c>
      <c r="C54" t="str">
        <v>BEV</v>
      </c>
      <c r="D54" t="str">
        <v>Maintenance cost</v>
      </c>
      <c r="E54" t="str">
        <v>euro per km</v>
      </c>
      <c r="F54">
        <v>4.5696000000000001E-2</v>
      </c>
      <c r="G54">
        <v>4.5696000000000001E-2</v>
      </c>
      <c r="H54">
        <v>4.5696000000000001E-2</v>
      </c>
      <c r="I54">
        <v>4.5696000000000001E-2</v>
      </c>
      <c r="J54">
        <v>4.5696000000000001E-2</v>
      </c>
      <c r="K54">
        <v>4.5696000000000001E-2</v>
      </c>
      <c r="L54">
        <v>4.5696000000000001E-2</v>
      </c>
      <c r="M54" t="str">
        <v>EuroPerKilometer</v>
      </c>
      <c r="N54" s="163" t="str">
        <f t="shared" si="0"/>
        <v>public override ParameterTimeSeries&lt;EuroPerKilometer&gt; BEV_Maintenance_cost_euro_per_km { get; } = new ParameterTimeSeries&lt;EuroPerKilometer&gt; { 0.045696f, 0.045696f, 0.045696f, 0.045696f, 0.045696f, 0.045696f, 0.045696f };</v>
      </c>
    </row>
    <row r="55" spans="1:14" x14ac:dyDescent="0.35">
      <c r="A55" t="str">
        <v>BEV_Residual_value_at_end_of_life_ratio</v>
      </c>
      <c r="B55" t="str">
        <v>HGV40</v>
      </c>
      <c r="C55" t="str">
        <v>BEV</v>
      </c>
      <c r="D55" t="str">
        <v>Residual value at end of life</v>
      </c>
      <c r="E55" t="str">
        <v>ratio</v>
      </c>
      <c r="F55">
        <v>0.09</v>
      </c>
      <c r="G55">
        <v>0.09</v>
      </c>
      <c r="H55">
        <v>0.09</v>
      </c>
      <c r="I55">
        <v>0.09</v>
      </c>
      <c r="J55">
        <v>0.09</v>
      </c>
      <c r="K55">
        <v>0.09</v>
      </c>
      <c r="L55">
        <v>0.09</v>
      </c>
      <c r="M55" t="str">
        <v>Dimensionless</v>
      </c>
      <c r="N55" s="163" t="str">
        <f t="shared" si="0"/>
        <v>public override ParameterTimeSeries&lt;Dimensionless&gt; BEV_Residual_value_at_end_of_life_ratio { get; } = new ParameterTimeSeries&lt;Dimensionless&gt; { 0.09f, 0.09f, 0.09f, 0.09f, 0.09f, 0.09f, 0.09f };</v>
      </c>
    </row>
    <row r="56" spans="1:14" x14ac:dyDescent="0.35">
      <c r="A56" t="str">
        <v>BEV_Energy_consumption_kWh_per_km</v>
      </c>
      <c r="B56" t="str">
        <v>HGV40</v>
      </c>
      <c r="C56" t="str">
        <v>BEV</v>
      </c>
      <c r="D56" t="str">
        <v>Energy consumption</v>
      </c>
      <c r="E56" t="str">
        <v>kWh per km</v>
      </c>
      <c r="F56">
        <v>1.1242075764705881</v>
      </c>
      <c r="G56">
        <v>1.0908836428917581</v>
      </c>
      <c r="H56">
        <v>1.0585475024682212</v>
      </c>
      <c r="I56">
        <v>1.0271698748836142</v>
      </c>
      <c r="J56">
        <v>0.99672234775320778</v>
      </c>
      <c r="K56">
        <v>0.96717735089654189</v>
      </c>
      <c r="L56">
        <v>0.93850813137267908</v>
      </c>
      <c r="M56" t="str">
        <v>KiloWattHoursPerKilometer</v>
      </c>
      <c r="N56" s="163" t="str">
        <f t="shared" si="0"/>
        <v>public override ParameterTimeSeries&lt;KiloWattHoursPerKilometer&gt; BEV_Energy_consumption_kWh_per_km { get; } = new ParameterTimeSeries&lt;KiloWattHoursPerKilometer&gt; { 1.12420757647059f, 1.09088364289176f, 1.05854750246822f, 1.02716987488361f, 0.996722347753208f, 0.967177350896542f, 0.938508131372679f };</v>
      </c>
    </row>
    <row r="57" spans="1:14" x14ac:dyDescent="0.35">
      <c r="A57" t="str">
        <v>BEV_Min_range_buffer_km</v>
      </c>
      <c r="B57" t="str">
        <v>HGV40</v>
      </c>
      <c r="C57" t="str">
        <v>BEV</v>
      </c>
      <c r="D57" t="str">
        <v>Min range buffer</v>
      </c>
      <c r="E57" t="str">
        <v>km</v>
      </c>
      <c r="F57">
        <v>50</v>
      </c>
      <c r="G57">
        <v>50</v>
      </c>
      <c r="H57">
        <v>50</v>
      </c>
      <c r="I57">
        <v>50</v>
      </c>
      <c r="J57">
        <v>50</v>
      </c>
      <c r="K57">
        <v>50</v>
      </c>
      <c r="L57">
        <v>50</v>
      </c>
      <c r="M57" t="str">
        <v>Kilometers</v>
      </c>
      <c r="N57" s="163" t="str">
        <f t="shared" si="0"/>
        <v>public override ParameterTimeSeries&lt;Kilometers&gt; BEV_Min_range_buffer_km { get; } = new ParameterTimeSeries&lt;Kilometers&gt; { 50f, 50f, 50f, 50f, 50f, 50f, 50f };</v>
      </c>
    </row>
    <row r="58" spans="1:14" x14ac:dyDescent="0.35">
      <c r="A58" t="str">
        <v>BEV_Lifetime_years</v>
      </c>
      <c r="B58" t="str">
        <v>HGV40</v>
      </c>
      <c r="C58" t="str">
        <v>BEV</v>
      </c>
      <c r="D58" t="str">
        <v>Lifetime</v>
      </c>
      <c r="E58" t="str">
        <v>years</v>
      </c>
      <c r="F58">
        <v>10</v>
      </c>
      <c r="G58">
        <v>11.666666666666666</v>
      </c>
      <c r="H58">
        <v>13.333333333333334</v>
      </c>
      <c r="I58">
        <v>15</v>
      </c>
      <c r="J58">
        <v>15</v>
      </c>
      <c r="K58">
        <v>15</v>
      </c>
      <c r="L58">
        <v>15</v>
      </c>
      <c r="M58" t="str">
        <v>Years</v>
      </c>
      <c r="N58" s="163" t="str">
        <f t="shared" si="0"/>
        <v>public override ParameterTimeSeries&lt;Years&gt; BEV_Lifetime_years { get; } = new ParameterTimeSeries&lt;Years&gt; { 10f, 11.6666666666667f, 13.3333333333333f, 15f, 15f, 15f, 15f };</v>
      </c>
    </row>
    <row r="59" spans="1:14" x14ac:dyDescent="0.35">
      <c r="A59" t="str">
        <v>ICEV_Chassis_cost_euro</v>
      </c>
      <c r="B59" t="str">
        <v>HGV40</v>
      </c>
      <c r="C59" t="str">
        <v>ICEV</v>
      </c>
      <c r="D59" t="str">
        <v>Chassis cost</v>
      </c>
      <c r="E59" t="str">
        <v>euro</v>
      </c>
      <c r="F59">
        <v>235200</v>
      </c>
      <c r="G59">
        <v>237794.60783471845</v>
      </c>
      <c r="H59">
        <v>240521.56674507578</v>
      </c>
      <c r="I59">
        <v>243387.62796607104</v>
      </c>
      <c r="J59">
        <v>246399.88711353898</v>
      </c>
      <c r="K59">
        <v>249565.8017510334</v>
      </c>
      <c r="L59">
        <v>252893.20985279875</v>
      </c>
      <c r="M59" t="str">
        <v>Euro</v>
      </c>
      <c r="N59" s="163" t="str">
        <f t="shared" si="0"/>
        <v>public override ParameterTimeSeries&lt;Euro&gt; ICEV_Chassis_cost_euro { get; } = new ParameterTimeSeries&lt;Euro&gt; { 235200f, 237794.607834718f, 240521.566745076f, 243387.627966071f, 246399.887113539f, 249565.801751033f, 252893.209852799f };</v>
      </c>
    </row>
    <row r="60" spans="1:14" x14ac:dyDescent="0.35">
      <c r="A60" t="str">
        <v>BEV_Chassis_weight_excl_battery_kg</v>
      </c>
      <c r="B60" t="str">
        <v>HGV40</v>
      </c>
      <c r="C60" t="str">
        <v>BEV</v>
      </c>
      <c r="D60" t="str">
        <v>Chassis weight, excl battery</v>
      </c>
      <c r="E60" t="str">
        <v>kg</v>
      </c>
      <c r="F60">
        <v>16172</v>
      </c>
      <c r="G60">
        <v>16172</v>
      </c>
      <c r="H60">
        <v>16172</v>
      </c>
      <c r="I60">
        <v>16172</v>
      </c>
      <c r="J60">
        <v>16172</v>
      </c>
      <c r="K60">
        <v>16172</v>
      </c>
      <c r="L60">
        <v>16172</v>
      </c>
      <c r="M60" t="str">
        <v>Kilogram</v>
      </c>
      <c r="N60" s="163" t="str">
        <f t="shared" si="0"/>
        <v>public override ParameterTimeSeries&lt;Kilogram&gt; BEV_Chassis_weight_excl_battery_kg { get; } = new ParameterTimeSeries&lt;Kilogram&gt; { 16172f, 16172f, 16172f, 16172f, 16172f, 16172f, 16172f };</v>
      </c>
    </row>
    <row r="61" spans="1:14" x14ac:dyDescent="0.35">
      <c r="A61" t="str">
        <v>BEV_Chassis_cost_excl_battery_euro</v>
      </c>
      <c r="B61" t="str">
        <v>HGV40</v>
      </c>
      <c r="C61" t="str">
        <v>BEV</v>
      </c>
      <c r="D61" t="str">
        <v>Chassis cost, excl battery</v>
      </c>
      <c r="E61" t="str">
        <v>euro</v>
      </c>
      <c r="F61">
        <v>204865.91999999998</v>
      </c>
      <c r="G61">
        <v>202893.3601539502</v>
      </c>
      <c r="H61">
        <v>201110.32228617318</v>
      </c>
      <c r="I61">
        <v>199498.59727600761</v>
      </c>
      <c r="J61">
        <v>198041.72552059629</v>
      </c>
      <c r="K61">
        <v>196724.82884260942</v>
      </c>
      <c r="L61">
        <v>195534.45854814028</v>
      </c>
      <c r="M61" t="str">
        <v>Euro</v>
      </c>
      <c r="N61" s="163" t="str">
        <f t="shared" si="0"/>
        <v>public override ParameterTimeSeries&lt;Euro&gt; BEV_Chassis_cost_excl_battery_euro { get; } = new ParameterTimeSeries&lt;Euro&gt; { 204865.92f, 202893.36015395f, 201110.322286173f, 199498.597276008f, 198041.725520596f, 196724.828842609f, 195534.45854814f };</v>
      </c>
    </row>
    <row r="62" spans="1:14" x14ac:dyDescent="0.35">
      <c r="A62" t="str">
        <v>BEV_Min_net_battery_capacity_kWh</v>
      </c>
      <c r="B62" t="str">
        <v>HGV40</v>
      </c>
      <c r="C62" t="str">
        <v>BEV</v>
      </c>
      <c r="D62" t="str">
        <v>Min net battery capacity</v>
      </c>
      <c r="E62" t="str">
        <v>kWh</v>
      </c>
      <c r="F62">
        <v>158.88888888888891</v>
      </c>
      <c r="G62">
        <v>165.75529986313589</v>
      </c>
      <c r="H62">
        <v>150.68834099086558</v>
      </c>
      <c r="I62">
        <v>129.79307750922794</v>
      </c>
      <c r="J62">
        <v>109.12085109521168</v>
      </c>
      <c r="K62">
        <v>90.692301878275998</v>
      </c>
      <c r="L62">
        <v>74.954623396385458</v>
      </c>
      <c r="M62" t="str">
        <v>KiloWattHours</v>
      </c>
      <c r="N62" s="163" t="str">
        <f t="shared" si="0"/>
        <v>public override ParameterTimeSeries&lt;KiloWattHours&gt; BEV_Min_net_battery_capacity_kWh { get; } = new ParameterTimeSeries&lt;KiloWattHours&gt; { 158.888888888889f, 165.755299863136f, 150.688340990866f, 129.793077509228f, 109.120851095212f, 90.692301878276f, 74.9546233963855f };</v>
      </c>
    </row>
    <row r="63" spans="1:14" x14ac:dyDescent="0.35">
      <c r="A63" t="str">
        <v>_</v>
      </c>
      <c r="B63" s="4" t="s">
        <v>325</v>
      </c>
      <c r="N63" s="163" t="str">
        <f t="shared" si="0"/>
        <v>} public class MGV24Internal : VehicleType {</v>
      </c>
    </row>
    <row r="64" spans="1:14" x14ac:dyDescent="0.35">
      <c r="A64" t="str">
        <v>Common_Annual_distance_km</v>
      </c>
      <c r="B64" t="str" cm="1">
        <f t="array" ref="B64:L92">vehicles!A115:K143</f>
        <v>MGV24</v>
      </c>
      <c r="C64" t="str">
        <v>Common</v>
      </c>
      <c r="D64" t="str">
        <v>Annual distance</v>
      </c>
      <c r="E64" t="str">
        <v>km</v>
      </c>
      <c r="F64">
        <v>80000</v>
      </c>
      <c r="G64">
        <v>80000</v>
      </c>
      <c r="H64">
        <v>80000</v>
      </c>
      <c r="I64">
        <v>80000</v>
      </c>
      <c r="J64">
        <v>80000</v>
      </c>
      <c r="K64">
        <v>80000</v>
      </c>
      <c r="L64">
        <v>80000</v>
      </c>
      <c r="M64" t="str" cm="1">
        <f t="array" ref="M64:M92">M34:M62</f>
        <v>KilometersPerYear</v>
      </c>
      <c r="N64" s="163" t="str">
        <f t="shared" si="0"/>
        <v>public override ParameterTimeSeries&lt;KilometersPerYear&gt; Common_Annual_distance_km { get; } = new ParameterTimeSeries&lt;KilometersPerYear&gt; { 80000f, 80000f, 80000f, 80000f, 80000f, 80000f, 80000f };</v>
      </c>
    </row>
    <row r="65" spans="1:14" x14ac:dyDescent="0.35">
      <c r="A65" t="str">
        <v>Common_Utilization_calendar_days_per_year</v>
      </c>
      <c r="B65" t="str">
        <v>MGV24</v>
      </c>
      <c r="C65" t="str">
        <v>Common</v>
      </c>
      <c r="D65" t="str">
        <v>Utilization</v>
      </c>
      <c r="E65" t="str">
        <v>calendar days per year</v>
      </c>
      <c r="F65">
        <v>230</v>
      </c>
      <c r="G65">
        <v>230</v>
      </c>
      <c r="H65">
        <v>230</v>
      </c>
      <c r="I65">
        <v>230</v>
      </c>
      <c r="J65">
        <v>230</v>
      </c>
      <c r="K65">
        <v>230</v>
      </c>
      <c r="L65">
        <v>230</v>
      </c>
      <c r="M65" t="str">
        <v>Dimensionless</v>
      </c>
      <c r="N65" s="163" t="str">
        <f t="shared" si="0"/>
        <v>public override ParameterTimeSeries&lt;Dimensionless&gt; Common_Utilization_calendar_days_per_year { get; } = new ParameterTimeSeries&lt;Dimensionless&gt; { 230f, 230f, 230f, 230f, 230f, 230f, 230f };</v>
      </c>
    </row>
    <row r="66" spans="1:14" x14ac:dyDescent="0.35">
      <c r="A66" t="str">
        <v>Common_Max_time_in_transit_h_per_day</v>
      </c>
      <c r="B66" t="str">
        <v>MGV24</v>
      </c>
      <c r="C66" t="str">
        <v>Common</v>
      </c>
      <c r="D66" t="str">
        <v>Max time in transit</v>
      </c>
      <c r="E66" t="str">
        <v>h per day</v>
      </c>
      <c r="F66">
        <v>9</v>
      </c>
      <c r="G66">
        <v>9</v>
      </c>
      <c r="H66">
        <v>9</v>
      </c>
      <c r="I66">
        <v>9</v>
      </c>
      <c r="J66">
        <v>9</v>
      </c>
      <c r="K66">
        <v>9</v>
      </c>
      <c r="L66">
        <v>9</v>
      </c>
      <c r="M66" t="str">
        <v>Hours</v>
      </c>
      <c r="N66" s="163" t="str">
        <f>IF(C66="",IF(B65="","","} ")&amp;IF(B68="","","public class "&amp;B66&amp;" {"),"public override ParameterTimeSeries&lt;"&amp;M66&amp;"&gt; "&amp;A66&amp;" { get; } = new ParameterTimeSeries&lt;"&amp;M66&amp;"&gt; { "&amp;_xlfn.TEXTJOIN("f, ",TRUE,F66:L66)&amp;"f };")</f>
        <v>public override ParameterTimeSeries&lt;Hours&gt; Common_Max_time_in_transit_h_per_day { get; } = new ParameterTimeSeries&lt;Hours&gt; { 9f, 9f, 9f, 9f, 9f, 9f, 9f };</v>
      </c>
    </row>
    <row r="67" spans="1:14" x14ac:dyDescent="0.35">
      <c r="A67" t="str">
        <v>Common_Max_time_in_use_h_per_day</v>
      </c>
      <c r="B67" t="str">
        <v>MGV24</v>
      </c>
      <c r="C67" t="str">
        <v>Common</v>
      </c>
      <c r="D67" t="str">
        <v>Max time in use</v>
      </c>
      <c r="E67" t="str">
        <v>h per day</v>
      </c>
      <c r="F67">
        <v>12</v>
      </c>
      <c r="G67">
        <v>12</v>
      </c>
      <c r="H67">
        <v>12</v>
      </c>
      <c r="I67">
        <v>12</v>
      </c>
      <c r="J67">
        <v>12</v>
      </c>
      <c r="K67">
        <v>12</v>
      </c>
      <c r="L67">
        <v>12</v>
      </c>
      <c r="M67" t="str">
        <v>Hours</v>
      </c>
      <c r="N67" s="163" t="str">
        <f>IF(C67="",IF(B66="","","} ")&amp;IF(B69="","","public class "&amp;B67&amp;" {"),"public override ParameterTimeSeries&lt;"&amp;M67&amp;"&gt; "&amp;A67&amp;" { get; } = new ParameterTimeSeries&lt;"&amp;M67&amp;"&gt; { "&amp;_xlfn.TEXTJOIN("f, ",TRUE,F67:L67)&amp;"f };")</f>
        <v>public override ParameterTimeSeries&lt;Hours&gt; Common_Max_time_in_use_h_per_day { get; } = new ParameterTimeSeries&lt;Hours&gt; { 12f, 12f, 12f, 12f, 12f, 12f, 12f };</v>
      </c>
    </row>
    <row r="68" spans="1:14" x14ac:dyDescent="0.35">
      <c r="A68" t="str">
        <v>Common_Power_peak_kW</v>
      </c>
      <c r="B68" t="str">
        <v>MGV24</v>
      </c>
      <c r="C68" t="str">
        <v>Common</v>
      </c>
      <c r="D68" t="str">
        <v>Power, peak</v>
      </c>
      <c r="E68" t="str">
        <v>kW</v>
      </c>
      <c r="F68">
        <v>300</v>
      </c>
      <c r="G68">
        <v>300</v>
      </c>
      <c r="H68">
        <v>300</v>
      </c>
      <c r="I68">
        <v>300</v>
      </c>
      <c r="J68">
        <v>300</v>
      </c>
      <c r="K68">
        <v>300</v>
      </c>
      <c r="L68">
        <v>300</v>
      </c>
      <c r="M68" t="str">
        <v>KiloWatts</v>
      </c>
      <c r="N68" s="163" t="str">
        <f>IF(C68="",IF(B66="","","} ")&amp;IF(B69="","","public class "&amp;B68&amp;" {"),"public override ParameterTimeSeries&lt;"&amp;M68&amp;"&gt; "&amp;A68&amp;" { get; } = new ParameterTimeSeries&lt;"&amp;M68&amp;"&gt; { "&amp;_xlfn.TEXTJOIN("f, ",TRUE,F68:L68)&amp;"f };")</f>
        <v>public override ParameterTimeSeries&lt;KiloWatts&gt; Common_Power_peak_kW { get; } = new ParameterTimeSeries&lt;KiloWatts&gt; { 300f, 300f, 300f, 300f, 300f, 300f, 300f };</v>
      </c>
    </row>
    <row r="69" spans="1:14" x14ac:dyDescent="0.35">
      <c r="A69" t="str">
        <v>Common_Tyres_euro_per_km</v>
      </c>
      <c r="B69" t="str">
        <v>MGV24</v>
      </c>
      <c r="C69" t="str">
        <v>Common</v>
      </c>
      <c r="D69" t="str">
        <v>Tyres</v>
      </c>
      <c r="E69" t="str">
        <v>euro per km</v>
      </c>
      <c r="F69">
        <v>6.1440000000000002E-2</v>
      </c>
      <c r="G69">
        <v>6.1440000000000002E-2</v>
      </c>
      <c r="H69">
        <v>6.1440000000000002E-2</v>
      </c>
      <c r="I69">
        <v>6.1440000000000002E-2</v>
      </c>
      <c r="J69">
        <v>6.1440000000000002E-2</v>
      </c>
      <c r="K69">
        <v>6.1440000000000002E-2</v>
      </c>
      <c r="L69">
        <v>6.1440000000000002E-2</v>
      </c>
      <c r="M69" t="str">
        <v>EuroPerKilometer</v>
      </c>
      <c r="N69" s="163" t="str">
        <f t="shared" si="0"/>
        <v>public override ParameterTimeSeries&lt;EuroPerKilometer&gt; Common_Tyres_euro_per_km { get; } = new ParameterTimeSeries&lt;EuroPerKilometer&gt; { 0.06144f, 0.06144f, 0.06144f, 0.06144f, 0.06144f, 0.06144f, 0.06144f };</v>
      </c>
    </row>
    <row r="70" spans="1:14" x14ac:dyDescent="0.35">
      <c r="A70" t="str">
        <v>Common_Cargo_capacity_value_euro_per_ton_km</v>
      </c>
      <c r="B70" t="str">
        <v>MGV24</v>
      </c>
      <c r="C70" t="str">
        <v>Common</v>
      </c>
      <c r="D70" t="str">
        <v>Cargo capacity value</v>
      </c>
      <c r="E70" t="str">
        <v>euro per ton-km</v>
      </c>
      <c r="F70">
        <v>3.5000000000000003E-2</v>
      </c>
      <c r="G70">
        <v>3.5000000000000003E-2</v>
      </c>
      <c r="H70">
        <v>3.5000000000000003E-2</v>
      </c>
      <c r="I70">
        <v>3.5000000000000003E-2</v>
      </c>
      <c r="J70">
        <v>3.5000000000000003E-2</v>
      </c>
      <c r="K70">
        <v>3.5000000000000003E-2</v>
      </c>
      <c r="L70">
        <v>3.5000000000000003E-2</v>
      </c>
      <c r="M70" t="str">
        <v>EuroPerTonKilometer</v>
      </c>
      <c r="N70" s="163" t="str">
        <f t="shared" si="0"/>
        <v>public override ParameterTimeSeries&lt;EuroPerTonKilometer&gt; Common_Cargo_capacity_value_euro_per_ton_km { get; } = new ParameterTimeSeries&lt;EuroPerTonKilometer&gt; { 0.035f, 0.035f, 0.035f, 0.035f, 0.035f, 0.035f, 0.035f };</v>
      </c>
    </row>
    <row r="71" spans="1:14" x14ac:dyDescent="0.35">
      <c r="A71" t="str">
        <v>Common_Cargo_capacity_value_euro_per_m3_km</v>
      </c>
      <c r="B71" t="str">
        <v>MGV24</v>
      </c>
      <c r="C71" t="str">
        <v>Common</v>
      </c>
      <c r="D71" t="str">
        <v>Cargo capacity value</v>
      </c>
      <c r="E71" t="str">
        <v>euro per m3-km</v>
      </c>
      <c r="F71">
        <v>9.8000000000000014E-3</v>
      </c>
      <c r="G71">
        <v>9.8000000000000014E-3</v>
      </c>
      <c r="H71">
        <v>9.8000000000000014E-3</v>
      </c>
      <c r="I71">
        <v>9.8000000000000014E-3</v>
      </c>
      <c r="J71">
        <v>9.8000000000000014E-3</v>
      </c>
      <c r="K71">
        <v>9.8000000000000014E-3</v>
      </c>
      <c r="L71">
        <v>9.8000000000000014E-3</v>
      </c>
      <c r="M71" t="str">
        <v>EuroPerCubicMeter</v>
      </c>
      <c r="N71" s="163" t="str">
        <f t="shared" ref="N71:N122" si="1">IF(C71="",IF(B70="","","} ")&amp;IF(B72="","","public class "&amp;B71&amp;" {"),"public override ParameterTimeSeries&lt;"&amp;M71&amp;"&gt; "&amp;A71&amp;" { get; } = new ParameterTimeSeries&lt;"&amp;M71&amp;"&gt; { "&amp;_xlfn.TEXTJOIN("f, ",TRUE,F71:L71)&amp;"f };")</f>
        <v>public override ParameterTimeSeries&lt;EuroPerCubicMeter&gt; Common_Cargo_capacity_value_euro_per_m3_km { get; } = new ParameterTimeSeries&lt;EuroPerCubicMeter&gt; { 0.0098f, 0.0098f, 0.0098f, 0.0098f, 0.0098f, 0.0098f, 0.0098f };</v>
      </c>
    </row>
    <row r="72" spans="1:14" x14ac:dyDescent="0.35">
      <c r="A72" t="str">
        <v>Common_Total_weight_limit_kg</v>
      </c>
      <c r="B72" t="str">
        <v>MGV24</v>
      </c>
      <c r="C72" t="str">
        <v>Common</v>
      </c>
      <c r="D72" t="str">
        <v>Total weight limit</v>
      </c>
      <c r="E72" t="str">
        <v>kg</v>
      </c>
      <c r="F72">
        <v>24000</v>
      </c>
      <c r="G72">
        <v>24000</v>
      </c>
      <c r="H72">
        <v>24000</v>
      </c>
      <c r="I72">
        <v>24000</v>
      </c>
      <c r="J72">
        <v>24000</v>
      </c>
      <c r="K72">
        <v>24000</v>
      </c>
      <c r="L72">
        <v>24000</v>
      </c>
      <c r="M72" t="str">
        <v>Kilogram</v>
      </c>
      <c r="N72" s="163" t="str">
        <f t="shared" si="1"/>
        <v>public override ParameterTimeSeries&lt;Kilogram&gt; Common_Total_weight_limit_kg { get; } = new ParameterTimeSeries&lt;Kilogram&gt; { 24000f, 24000f, 24000f, 24000f, 24000f, 24000f, 24000f };</v>
      </c>
    </row>
    <row r="73" spans="1:14" x14ac:dyDescent="0.35">
      <c r="A73" t="str">
        <v>Common_Depot_stop_h</v>
      </c>
      <c r="B73" t="str">
        <v>MGV24</v>
      </c>
      <c r="C73" t="str">
        <v>Common</v>
      </c>
      <c r="D73" t="str">
        <v>Depot stop</v>
      </c>
      <c r="E73" t="str">
        <v>h</v>
      </c>
      <c r="F73">
        <v>12</v>
      </c>
      <c r="G73">
        <v>12</v>
      </c>
      <c r="H73">
        <v>12</v>
      </c>
      <c r="I73">
        <v>12</v>
      </c>
      <c r="J73">
        <v>12</v>
      </c>
      <c r="K73">
        <v>12</v>
      </c>
      <c r="L73">
        <v>12</v>
      </c>
      <c r="M73" t="str">
        <v>Hours</v>
      </c>
      <c r="N73" s="163" t="str">
        <f t="shared" si="1"/>
        <v>public override ParameterTimeSeries&lt;Hours&gt; Common_Depot_stop_h { get; } = new ParameterTimeSeries&lt;Hours&gt; { 12f, 12f, 12f, 12f, 12f, 12f, 12f };</v>
      </c>
    </row>
    <row r="74" spans="1:14" x14ac:dyDescent="0.35">
      <c r="A74" t="str">
        <v>Common_Destination_stop_h</v>
      </c>
      <c r="B74" t="str">
        <v>MGV24</v>
      </c>
      <c r="C74" t="str">
        <v>Common</v>
      </c>
      <c r="D74" t="str">
        <v>Destination stop</v>
      </c>
      <c r="E74" t="str">
        <v>h</v>
      </c>
      <c r="F74">
        <v>0.5</v>
      </c>
      <c r="G74">
        <v>0.5</v>
      </c>
      <c r="H74">
        <v>0.5</v>
      </c>
      <c r="I74">
        <v>0.5</v>
      </c>
      <c r="J74">
        <v>0.5</v>
      </c>
      <c r="K74">
        <v>0.5</v>
      </c>
      <c r="L74">
        <v>0.5</v>
      </c>
      <c r="M74" t="str">
        <v>Hours</v>
      </c>
      <c r="N74" s="163" t="str">
        <f t="shared" si="1"/>
        <v>public override ParameterTimeSeries&lt;Hours&gt; Common_Destination_stop_h { get; } = new ParameterTimeSeries&lt;Hours&gt; { 0.5f, 0.5f, 0.5f, 0.5f, 0.5f, 0.5f, 0.5f };</v>
      </c>
    </row>
    <row r="75" spans="1:14" x14ac:dyDescent="0.35">
      <c r="A75" t="str">
        <v>Common_Rest_stop_h</v>
      </c>
      <c r="B75" t="str">
        <v>MGV24</v>
      </c>
      <c r="C75" t="str">
        <v>Common</v>
      </c>
      <c r="D75" t="str">
        <v>Rest stop</v>
      </c>
      <c r="E75" t="str">
        <v>h</v>
      </c>
      <c r="F75">
        <v>0.75</v>
      </c>
      <c r="G75">
        <v>0.75</v>
      </c>
      <c r="H75">
        <v>0.75</v>
      </c>
      <c r="I75">
        <v>0.75</v>
      </c>
      <c r="J75">
        <v>0.75</v>
      </c>
      <c r="K75">
        <v>0.75</v>
      </c>
      <c r="L75">
        <v>0.75</v>
      </c>
      <c r="M75" t="str">
        <v>Hours</v>
      </c>
      <c r="N75" s="163" t="str">
        <f t="shared" si="1"/>
        <v>public override ParameterTimeSeries&lt;Hours&gt; Common_Rest_stop_h { get; } = new ParameterTimeSeries&lt;Hours&gt; { 0.75f, 0.75f, 0.75f, 0.75f, 0.75f, 0.75f, 0.75f };</v>
      </c>
    </row>
    <row r="76" spans="1:14" x14ac:dyDescent="0.35">
      <c r="A76" t="str">
        <v>Common_Drive_session_h</v>
      </c>
      <c r="B76" t="str">
        <v>MGV24</v>
      </c>
      <c r="C76" t="str">
        <v>Common</v>
      </c>
      <c r="D76" t="str">
        <v>Drive session</v>
      </c>
      <c r="E76" t="str">
        <v>h</v>
      </c>
      <c r="F76">
        <v>4.5</v>
      </c>
      <c r="G76">
        <v>4.5</v>
      </c>
      <c r="H76">
        <v>4.5</v>
      </c>
      <c r="I76">
        <v>4.5</v>
      </c>
      <c r="J76">
        <v>4.5</v>
      </c>
      <c r="K76">
        <v>4.5</v>
      </c>
      <c r="L76">
        <v>4.5</v>
      </c>
      <c r="M76" t="str">
        <v>Hours</v>
      </c>
      <c r="N76" s="163" t="str">
        <f t="shared" si="1"/>
        <v>public override ParameterTimeSeries&lt;Hours&gt; Common_Drive_session_h { get; } = new ParameterTimeSeries&lt;Hours&gt; { 4.5f, 4.5f, 4.5f, 4.5f, 4.5f, 4.5f, 4.5f };</v>
      </c>
    </row>
    <row r="77" spans="1:14" x14ac:dyDescent="0.35">
      <c r="A77" t="str">
        <v>Common_Driver_cost_euro_per_h</v>
      </c>
      <c r="B77" t="str">
        <v>MGV24</v>
      </c>
      <c r="C77" t="str">
        <v>Common</v>
      </c>
      <c r="D77" t="str">
        <v>Driver cost</v>
      </c>
      <c r="E77" t="str">
        <v>euro per h</v>
      </c>
      <c r="F77">
        <v>30</v>
      </c>
      <c r="G77">
        <v>30</v>
      </c>
      <c r="H77">
        <v>30</v>
      </c>
      <c r="I77">
        <v>30</v>
      </c>
      <c r="J77">
        <v>30</v>
      </c>
      <c r="K77">
        <v>30</v>
      </c>
      <c r="L77">
        <v>30</v>
      </c>
      <c r="M77" t="str">
        <v>EuroPerHour</v>
      </c>
      <c r="N77" s="163" t="str">
        <f t="shared" si="1"/>
        <v>public override ParameterTimeSeries&lt;EuroPerHour&gt; Common_Driver_cost_euro_per_h { get; } = new ParameterTimeSeries&lt;EuroPerHour&gt; { 30f, 30f, 30f, 30f, 30f, 30f, 30f };</v>
      </c>
    </row>
    <row r="78" spans="1:14" x14ac:dyDescent="0.35">
      <c r="A78" t="str">
        <v>ICEV_Chassis_weight_kg</v>
      </c>
      <c r="B78" t="str">
        <v>MGV24</v>
      </c>
      <c r="C78" t="str">
        <v>ICEV</v>
      </c>
      <c r="D78" t="str">
        <v>Chassis weight</v>
      </c>
      <c r="E78" t="str">
        <v>kg</v>
      </c>
      <c r="F78">
        <v>10000</v>
      </c>
      <c r="G78">
        <v>10000</v>
      </c>
      <c r="H78">
        <v>10000</v>
      </c>
      <c r="I78">
        <v>10000</v>
      </c>
      <c r="J78">
        <v>10000</v>
      </c>
      <c r="K78">
        <v>10000</v>
      </c>
      <c r="L78">
        <v>10000</v>
      </c>
      <c r="M78" t="str">
        <v>Kilogram</v>
      </c>
      <c r="N78" s="163" t="str">
        <f t="shared" si="1"/>
        <v>public override ParameterTimeSeries&lt;Kilogram&gt; ICEV_Chassis_weight_kg { get; } = new ParameterTimeSeries&lt;Kilogram&gt; { 10000f, 10000f, 10000f, 10000f, 10000f, 10000f, 10000f };</v>
      </c>
    </row>
    <row r="79" spans="1:14" x14ac:dyDescent="0.35">
      <c r="A79" t="str">
        <v>ICEV_Chassis_cost_2020_euro</v>
      </c>
      <c r="B79" t="str">
        <v>MGV24</v>
      </c>
      <c r="C79" t="str">
        <v>ICEV</v>
      </c>
      <c r="D79" t="str">
        <v>Chassis cost, 2020</v>
      </c>
      <c r="E79" t="str">
        <v>euro</v>
      </c>
      <c r="F79">
        <v>148800</v>
      </c>
      <c r="G79">
        <v>148800</v>
      </c>
      <c r="H79">
        <v>148800</v>
      </c>
      <c r="I79">
        <v>148800</v>
      </c>
      <c r="J79">
        <v>148800</v>
      </c>
      <c r="K79">
        <v>148800</v>
      </c>
      <c r="L79">
        <v>148800</v>
      </c>
      <c r="M79" t="str">
        <v>Euro</v>
      </c>
      <c r="N79" s="163" t="str">
        <f t="shared" si="1"/>
        <v>public override ParameterTimeSeries&lt;Euro&gt; ICEV_Chassis_cost_2020_euro { get; } = new ParameterTimeSeries&lt;Euro&gt; { 148800f, 148800f, 148800f, 148800f, 148800f, 148800f, 148800f };</v>
      </c>
    </row>
    <row r="80" spans="1:14" x14ac:dyDescent="0.35">
      <c r="A80" t="str">
        <v>ICEV_Lifetime_years</v>
      </c>
      <c r="B80" t="str">
        <v>MGV24</v>
      </c>
      <c r="C80" t="str">
        <v>ICEV</v>
      </c>
      <c r="D80" t="str">
        <v>Lifetime</v>
      </c>
      <c r="E80" t="str">
        <v>years</v>
      </c>
      <c r="F80">
        <v>7</v>
      </c>
      <c r="G80">
        <v>7</v>
      </c>
      <c r="H80">
        <v>7</v>
      </c>
      <c r="I80">
        <v>7</v>
      </c>
      <c r="J80">
        <v>7</v>
      </c>
      <c r="K80">
        <v>7</v>
      </c>
      <c r="L80">
        <v>7</v>
      </c>
      <c r="M80" t="str">
        <v>Years</v>
      </c>
      <c r="N80" s="163" t="str">
        <f t="shared" si="1"/>
        <v>public override ParameterTimeSeries&lt;Years&gt; ICEV_Lifetime_years { get; } = new ParameterTimeSeries&lt;Years&gt; { 7f, 7f, 7f, 7f, 7f, 7f, 7f };</v>
      </c>
    </row>
    <row r="81" spans="1:14" x14ac:dyDescent="0.35">
      <c r="A81" t="str">
        <v>ICEV_Maintenance_cost_euro_per_km</v>
      </c>
      <c r="B81" t="str">
        <v>MGV24</v>
      </c>
      <c r="C81" t="str">
        <v>ICEV</v>
      </c>
      <c r="D81" t="str">
        <v>Maintenance cost</v>
      </c>
      <c r="E81" t="str">
        <v>euro per km</v>
      </c>
      <c r="F81">
        <v>0.12096</v>
      </c>
      <c r="G81">
        <v>0.12096</v>
      </c>
      <c r="H81">
        <v>0.12096</v>
      </c>
      <c r="I81">
        <v>0.12096</v>
      </c>
      <c r="J81">
        <v>0.12096</v>
      </c>
      <c r="K81">
        <v>0.12096</v>
      </c>
      <c r="L81">
        <v>0.12096</v>
      </c>
      <c r="M81" t="str">
        <v>EuroPerKilometer</v>
      </c>
      <c r="N81" s="163" t="str">
        <f t="shared" si="1"/>
        <v>public override ParameterTimeSeries&lt;EuroPerKilometer&gt; ICEV_Maintenance_cost_euro_per_km { get; } = new ParameterTimeSeries&lt;EuroPerKilometer&gt; { 0.12096f, 0.12096f, 0.12096f, 0.12096f, 0.12096f, 0.12096f, 0.12096f };</v>
      </c>
    </row>
    <row r="82" spans="1:14" x14ac:dyDescent="0.35">
      <c r="A82" t="str">
        <v>ICEV_Residual_value_at_end_of_life_ratio</v>
      </c>
      <c r="B82" t="str">
        <v>MGV24</v>
      </c>
      <c r="C82" t="str">
        <v>ICEV</v>
      </c>
      <c r="D82" t="str">
        <v>Residual value at end of life</v>
      </c>
      <c r="E82" t="str">
        <v>ratio</v>
      </c>
      <c r="F82">
        <v>0.09</v>
      </c>
      <c r="G82">
        <v>0.09</v>
      </c>
      <c r="H82">
        <v>0.09</v>
      </c>
      <c r="I82">
        <v>0.09</v>
      </c>
      <c r="J82">
        <v>0.09</v>
      </c>
      <c r="K82">
        <v>0.09</v>
      </c>
      <c r="L82">
        <v>0.09</v>
      </c>
      <c r="M82" t="str">
        <v>Dimensionless</v>
      </c>
      <c r="N82" s="163" t="str">
        <f t="shared" si="1"/>
        <v>public override ParameterTimeSeries&lt;Dimensionless&gt; ICEV_Residual_value_at_end_of_life_ratio { get; } = new ParameterTimeSeries&lt;Dimensionless&gt; { 0.09f, 0.09f, 0.09f, 0.09f, 0.09f, 0.09f, 0.09f };</v>
      </c>
    </row>
    <row r="83" spans="1:14" x14ac:dyDescent="0.35">
      <c r="A83" t="str">
        <v>ICEV_Fuel_consumption_liter_per_km</v>
      </c>
      <c r="B83" t="str">
        <v>MGV24</v>
      </c>
      <c r="C83" t="str">
        <v>ICEV</v>
      </c>
      <c r="D83" t="str">
        <v>Fuel consumption</v>
      </c>
      <c r="E83" t="str">
        <v>liter per km</v>
      </c>
      <c r="F83">
        <v>0.22</v>
      </c>
      <c r="G83">
        <v>0.21455472568681253</v>
      </c>
      <c r="H83">
        <v>0.20924422870246984</v>
      </c>
      <c r="I83">
        <v>0.20406517314003217</v>
      </c>
      <c r="J83">
        <v>0.19901430566041592</v>
      </c>
      <c r="K83">
        <v>0.19408845344873635</v>
      </c>
      <c r="L83">
        <v>0.18928452222123321</v>
      </c>
      <c r="M83" t="str">
        <v>LiterPerKilometer</v>
      </c>
      <c r="N83" s="163" t="str">
        <f t="shared" si="1"/>
        <v>public override ParameterTimeSeries&lt;LiterPerKilometer&gt; ICEV_Fuel_consumption_liter_per_km { get; } = new ParameterTimeSeries&lt;LiterPerKilometer&gt; { 0.22f, 0.214554725686813f, 0.20924422870247f, 0.204065173140032f, 0.199014305660416f, 0.194088453448736f, 0.189284522221233f };</v>
      </c>
    </row>
    <row r="84" spans="1:14" x14ac:dyDescent="0.35">
      <c r="A84" t="str">
        <v>BEV_Maintenance_cost_euro_per_km</v>
      </c>
      <c r="B84" t="str">
        <v>MGV24</v>
      </c>
      <c r="C84" t="str">
        <v>BEV</v>
      </c>
      <c r="D84" t="str">
        <v>Maintenance cost</v>
      </c>
      <c r="E84" t="str">
        <v>euro per km</v>
      </c>
      <c r="F84">
        <v>4.8384000000000003E-2</v>
      </c>
      <c r="G84">
        <v>4.8384000000000003E-2</v>
      </c>
      <c r="H84">
        <v>4.8384000000000003E-2</v>
      </c>
      <c r="I84">
        <v>4.8384000000000003E-2</v>
      </c>
      <c r="J84">
        <v>4.8384000000000003E-2</v>
      </c>
      <c r="K84">
        <v>4.8384000000000003E-2</v>
      </c>
      <c r="L84">
        <v>4.8384000000000003E-2</v>
      </c>
      <c r="M84" t="str">
        <v>EuroPerKilometer</v>
      </c>
      <c r="N84" s="163" t="str">
        <f t="shared" si="1"/>
        <v>public override ParameterTimeSeries&lt;EuroPerKilometer&gt; BEV_Maintenance_cost_euro_per_km { get; } = new ParameterTimeSeries&lt;EuroPerKilometer&gt; { 0.048384f, 0.048384f, 0.048384f, 0.048384f, 0.048384f, 0.048384f, 0.048384f };</v>
      </c>
    </row>
    <row r="85" spans="1:14" x14ac:dyDescent="0.35">
      <c r="A85" t="str">
        <v>BEV_Residual_value_at_end_of_life_ratio</v>
      </c>
      <c r="B85" t="str">
        <v>MGV24</v>
      </c>
      <c r="C85" t="str">
        <v>BEV</v>
      </c>
      <c r="D85" t="str">
        <v>Residual value at end of life</v>
      </c>
      <c r="E85" t="str">
        <v>ratio</v>
      </c>
      <c r="F85">
        <v>0.09</v>
      </c>
      <c r="G85">
        <v>0.09</v>
      </c>
      <c r="H85">
        <v>0.09</v>
      </c>
      <c r="I85">
        <v>0.09</v>
      </c>
      <c r="J85">
        <v>0.09</v>
      </c>
      <c r="K85">
        <v>0.09</v>
      </c>
      <c r="L85">
        <v>0.09</v>
      </c>
      <c r="M85" t="str">
        <v>Dimensionless</v>
      </c>
      <c r="N85" s="163" t="str">
        <f t="shared" si="1"/>
        <v>public override ParameterTimeSeries&lt;Dimensionless&gt; BEV_Residual_value_at_end_of_life_ratio { get; } = new ParameterTimeSeries&lt;Dimensionless&gt; { 0.09f, 0.09f, 0.09f, 0.09f, 0.09f, 0.09f, 0.09f };</v>
      </c>
    </row>
    <row r="86" spans="1:14" x14ac:dyDescent="0.35">
      <c r="A86" t="str">
        <v>BEV_Energy_consumption_kWh_per_km</v>
      </c>
      <c r="B86" t="str">
        <v>MGV24</v>
      </c>
      <c r="C86" t="str">
        <v>BEV</v>
      </c>
      <c r="D86" t="str">
        <v>Energy consumption</v>
      </c>
      <c r="E86" t="str">
        <v>kWh per km</v>
      </c>
      <c r="F86">
        <v>0.6412146917647058</v>
      </c>
      <c r="G86">
        <v>0.62220770742715092</v>
      </c>
      <c r="H86">
        <v>0.60376413103742976</v>
      </c>
      <c r="I86">
        <v>0.58586726197065409</v>
      </c>
      <c r="J86">
        <v>0.56850089464442222</v>
      </c>
      <c r="K86">
        <v>0.55164930384469424</v>
      </c>
      <c r="L86">
        <v>0.53529723048663913</v>
      </c>
      <c r="M86" t="str">
        <v>KiloWattHoursPerKilometer</v>
      </c>
      <c r="N86" s="163" t="str">
        <f t="shared" si="1"/>
        <v>public override ParameterTimeSeries&lt;KiloWattHoursPerKilometer&gt; BEV_Energy_consumption_kWh_per_km { get; } = new ParameterTimeSeries&lt;KiloWattHoursPerKilometer&gt; { 0.641214691764706f, 0.622207707427151f, 0.60376413103743f, 0.585867261970654f, 0.568500894644422f, 0.551649303844694f, 0.535297230486639f };</v>
      </c>
    </row>
    <row r="87" spans="1:14" x14ac:dyDescent="0.35">
      <c r="A87" t="str">
        <v>BEV_Min_range_buffer_km</v>
      </c>
      <c r="B87" t="str">
        <v>MGV24</v>
      </c>
      <c r="C87" t="str">
        <v>BEV</v>
      </c>
      <c r="D87" t="str">
        <v>Min range buffer</v>
      </c>
      <c r="E87" t="str">
        <v>km</v>
      </c>
      <c r="F87">
        <v>30</v>
      </c>
      <c r="G87">
        <v>30</v>
      </c>
      <c r="H87">
        <v>30</v>
      </c>
      <c r="I87">
        <v>30</v>
      </c>
      <c r="J87">
        <v>30</v>
      </c>
      <c r="K87">
        <v>30</v>
      </c>
      <c r="L87">
        <v>30</v>
      </c>
      <c r="M87" t="str">
        <v>Kilometers</v>
      </c>
      <c r="N87" s="163" t="str">
        <f t="shared" si="1"/>
        <v>public override ParameterTimeSeries&lt;Kilometers&gt; BEV_Min_range_buffer_km { get; } = new ParameterTimeSeries&lt;Kilometers&gt; { 30f, 30f, 30f, 30f, 30f, 30f, 30f };</v>
      </c>
    </row>
    <row r="88" spans="1:14" x14ac:dyDescent="0.35">
      <c r="A88" t="str">
        <v>BEV_Lifetime_years</v>
      </c>
      <c r="B88" t="str">
        <v>MGV24</v>
      </c>
      <c r="C88" t="str">
        <v>BEV</v>
      </c>
      <c r="D88" t="str">
        <v>Lifetime</v>
      </c>
      <c r="E88" t="str">
        <v>years</v>
      </c>
      <c r="F88">
        <v>7</v>
      </c>
      <c r="G88">
        <v>8.6666666666666661</v>
      </c>
      <c r="H88">
        <v>10.333333333333334</v>
      </c>
      <c r="I88">
        <v>12</v>
      </c>
      <c r="J88">
        <v>12</v>
      </c>
      <c r="K88">
        <v>12</v>
      </c>
      <c r="L88">
        <v>12</v>
      </c>
      <c r="M88" t="str">
        <v>Years</v>
      </c>
      <c r="N88" s="163" t="str">
        <f t="shared" si="1"/>
        <v>public override ParameterTimeSeries&lt;Years&gt; BEV_Lifetime_years { get; } = new ParameterTimeSeries&lt;Years&gt; { 7f, 8.66666666666667f, 10.3333333333333f, 12f, 12f, 12f, 12f };</v>
      </c>
    </row>
    <row r="89" spans="1:14" x14ac:dyDescent="0.35">
      <c r="A89" t="str">
        <v>ICEV_Chassis_cost_euro</v>
      </c>
      <c r="B89" t="str">
        <v>MGV24</v>
      </c>
      <c r="C89" t="str">
        <v>ICEV</v>
      </c>
      <c r="D89" t="str">
        <v>Chassis cost</v>
      </c>
      <c r="E89" t="str">
        <v>euro</v>
      </c>
      <c r="F89">
        <v>148800</v>
      </c>
      <c r="G89">
        <v>150216.88779800967</v>
      </c>
      <c r="H89">
        <v>151706.0511135819</v>
      </c>
      <c r="I89">
        <v>153271.1767244885</v>
      </c>
      <c r="J89">
        <v>154916.13947122029</v>
      </c>
      <c r="K89">
        <v>156645.01185007551</v>
      </c>
      <c r="L89">
        <v>158462.07409559263</v>
      </c>
      <c r="M89" t="str">
        <v>Euro</v>
      </c>
      <c r="N89" s="163" t="str">
        <f t="shared" si="1"/>
        <v>public override ParameterTimeSeries&lt;Euro&gt; ICEV_Chassis_cost_euro { get; } = new ParameterTimeSeries&lt;Euro&gt; { 148800f, 150216.88779801f, 151706.051113582f, 153271.176724488f, 154916.13947122f, 156645.011850076f, 158462.074095593f };</v>
      </c>
    </row>
    <row r="90" spans="1:14" x14ac:dyDescent="0.35">
      <c r="A90" t="str">
        <v>BEV_Chassis_weight_excl_battery_kg</v>
      </c>
      <c r="B90" t="str">
        <v>MGV24</v>
      </c>
      <c r="C90" t="str">
        <v>BEV</v>
      </c>
      <c r="D90" t="str">
        <v>Chassis weight, excl battery</v>
      </c>
      <c r="E90" t="str">
        <v>kg</v>
      </c>
      <c r="F90">
        <v>7912</v>
      </c>
      <c r="G90">
        <v>7912</v>
      </c>
      <c r="H90">
        <v>7912</v>
      </c>
      <c r="I90">
        <v>7912</v>
      </c>
      <c r="J90">
        <v>7912</v>
      </c>
      <c r="K90">
        <v>7912</v>
      </c>
      <c r="L90">
        <v>7912</v>
      </c>
      <c r="M90" t="str">
        <v>Kilogram</v>
      </c>
      <c r="N90" s="163" t="str">
        <f t="shared" si="1"/>
        <v>public override ParameterTimeSeries&lt;Kilogram&gt; BEV_Chassis_weight_excl_battery_kg { get; } = new ParameterTimeSeries&lt;Kilogram&gt; { 7912f, 7912f, 7912f, 7912f, 7912f, 7912f, 7912f };</v>
      </c>
    </row>
    <row r="91" spans="1:14" x14ac:dyDescent="0.35">
      <c r="A91" t="str">
        <v>BEV_Chassis_cost_excl_battery_euro</v>
      </c>
      <c r="B91" t="str">
        <v>MGV24</v>
      </c>
      <c r="C91" t="str">
        <v>BEV</v>
      </c>
      <c r="D91" t="str">
        <v>Chassis cost, excl battery</v>
      </c>
      <c r="E91" t="str">
        <v>euro</v>
      </c>
      <c r="F91">
        <v>134805.12</v>
      </c>
      <c r="G91">
        <v>133480.97948050639</v>
      </c>
      <c r="H91">
        <v>132284.06132705053</v>
      </c>
      <c r="I91">
        <v>131202.1421160743</v>
      </c>
      <c r="J91">
        <v>130224.17284081547</v>
      </c>
      <c r="K91">
        <v>129340.1660742776</v>
      </c>
      <c r="L91">
        <v>128541.0939734921</v>
      </c>
      <c r="M91" t="str">
        <v>Euro</v>
      </c>
      <c r="N91" s="163" t="str">
        <f t="shared" si="1"/>
        <v>public override ParameterTimeSeries&lt;Euro&gt; BEV_Chassis_cost_excl_battery_euro { get; } = new ParameterTimeSeries&lt;Euro&gt; { 134805.12f, 133480.979480506f, 132284.061327051f, 131202.142116074f, 130224.172840815f, 129340.166074278f, 128541.093973492f };</v>
      </c>
    </row>
    <row r="92" spans="1:14" x14ac:dyDescent="0.35">
      <c r="A92" t="str">
        <v>BEV_Min_net_battery_capacity_kWh</v>
      </c>
      <c r="B92" t="str">
        <v>MGV24</v>
      </c>
      <c r="C92" t="str">
        <v>BEV</v>
      </c>
      <c r="D92" t="str">
        <v>Min net battery capacity</v>
      </c>
      <c r="E92" t="str">
        <v>kWh</v>
      </c>
      <c r="F92">
        <v>86.666666666666671</v>
      </c>
      <c r="G92">
        <v>90.411981743528671</v>
      </c>
      <c r="H92">
        <v>82.193640540472131</v>
      </c>
      <c r="I92">
        <v>70.79622409594252</v>
      </c>
      <c r="J92">
        <v>59.520464233751824</v>
      </c>
      <c r="K92">
        <v>49.468528297241456</v>
      </c>
      <c r="L92">
        <v>40.884340034392068</v>
      </c>
      <c r="M92" t="str">
        <v>KiloWattHours</v>
      </c>
      <c r="N92" s="163" t="str">
        <f t="shared" si="1"/>
        <v>public override ParameterTimeSeries&lt;KiloWattHours&gt; BEV_Min_net_battery_capacity_kWh { get; } = new ParameterTimeSeries&lt;KiloWattHours&gt; { 86.6666666666667f, 90.4119817435287f, 82.1936405404721f, 70.7962240959425f, 59.5204642337518f, 49.4685282972415f, 40.8843400343921f };</v>
      </c>
    </row>
    <row r="93" spans="1:14" x14ac:dyDescent="0.35">
      <c r="A93" t="str">
        <v>_</v>
      </c>
      <c r="B93" s="4" t="s">
        <v>326</v>
      </c>
      <c r="N93" s="163" t="str">
        <f t="shared" si="1"/>
        <v>} public class MGV16Internal : VehicleType {</v>
      </c>
    </row>
    <row r="94" spans="1:14" x14ac:dyDescent="0.35">
      <c r="A94" t="str">
        <v>Common_Annual_distance_km</v>
      </c>
      <c r="B94" t="str" cm="1">
        <f t="array" ref="B94:L122">vehicles!A146:K174</f>
        <v>MGV16</v>
      </c>
      <c r="C94" t="str">
        <v>Common</v>
      </c>
      <c r="D94" t="str">
        <v>Annual distance</v>
      </c>
      <c r="E94" t="str">
        <v>km</v>
      </c>
      <c r="F94">
        <v>42000</v>
      </c>
      <c r="G94">
        <v>42000</v>
      </c>
      <c r="H94">
        <v>42000</v>
      </c>
      <c r="I94">
        <v>42000</v>
      </c>
      <c r="J94">
        <v>42000</v>
      </c>
      <c r="K94">
        <v>42000</v>
      </c>
      <c r="L94">
        <v>42000</v>
      </c>
      <c r="M94" t="str" cm="1">
        <f t="array" ref="M94:M122">M64:M92</f>
        <v>KilometersPerYear</v>
      </c>
      <c r="N94" s="163" t="str">
        <f t="shared" si="1"/>
        <v>public override ParameterTimeSeries&lt;KilometersPerYear&gt; Common_Annual_distance_km { get; } = new ParameterTimeSeries&lt;KilometersPerYear&gt; { 42000f, 42000f, 42000f, 42000f, 42000f, 42000f, 42000f };</v>
      </c>
    </row>
    <row r="95" spans="1:14" x14ac:dyDescent="0.35">
      <c r="A95" t="str">
        <v>Common_Utilization_calendar_days_per_year</v>
      </c>
      <c r="B95" t="str">
        <v>MGV16</v>
      </c>
      <c r="C95" t="str">
        <v>Common</v>
      </c>
      <c r="D95" t="str">
        <v>Utilization</v>
      </c>
      <c r="E95" t="str">
        <v>calendar days per year</v>
      </c>
      <c r="F95">
        <v>230</v>
      </c>
      <c r="G95">
        <v>230</v>
      </c>
      <c r="H95">
        <v>230</v>
      </c>
      <c r="I95">
        <v>230</v>
      </c>
      <c r="J95">
        <v>230</v>
      </c>
      <c r="K95">
        <v>230</v>
      </c>
      <c r="L95">
        <v>230</v>
      </c>
      <c r="M95" t="str">
        <v>Dimensionless</v>
      </c>
      <c r="N95" s="163" t="str">
        <f t="shared" si="1"/>
        <v>public override ParameterTimeSeries&lt;Dimensionless&gt; Common_Utilization_calendar_days_per_year { get; } = new ParameterTimeSeries&lt;Dimensionless&gt; { 230f, 230f, 230f, 230f, 230f, 230f, 230f };</v>
      </c>
    </row>
    <row r="96" spans="1:14" x14ac:dyDescent="0.35">
      <c r="A96" t="str">
        <v>Common_Max_time_in_transit_h_per_day</v>
      </c>
      <c r="B96" t="str">
        <v>MGV16</v>
      </c>
      <c r="C96" t="str">
        <v>Common</v>
      </c>
      <c r="D96" t="str">
        <v>Max time in transit</v>
      </c>
      <c r="E96" t="str">
        <v>h per day</v>
      </c>
      <c r="F96">
        <v>9</v>
      </c>
      <c r="G96">
        <v>9</v>
      </c>
      <c r="H96">
        <v>9</v>
      </c>
      <c r="I96">
        <v>9</v>
      </c>
      <c r="J96">
        <v>9</v>
      </c>
      <c r="K96">
        <v>9</v>
      </c>
      <c r="L96">
        <v>9</v>
      </c>
      <c r="M96" t="str">
        <v>Hours</v>
      </c>
      <c r="N96" s="163" t="str">
        <f>IF(C96="",IF(B95="","","} ")&amp;IF(B98="","","public class "&amp;B96&amp;" {"),"public override ParameterTimeSeries&lt;"&amp;M96&amp;"&gt; "&amp;A96&amp;" { get; } = new ParameterTimeSeries&lt;"&amp;M96&amp;"&gt; { "&amp;_xlfn.TEXTJOIN("f, ",TRUE,F96:L96)&amp;"f };")</f>
        <v>public override ParameterTimeSeries&lt;Hours&gt; Common_Max_time_in_transit_h_per_day { get; } = new ParameterTimeSeries&lt;Hours&gt; { 9f, 9f, 9f, 9f, 9f, 9f, 9f };</v>
      </c>
    </row>
    <row r="97" spans="1:14" x14ac:dyDescent="0.35">
      <c r="A97" t="str">
        <v>Common_Max_time_in_use_h_per_day</v>
      </c>
      <c r="B97" t="str">
        <v>MGV16</v>
      </c>
      <c r="C97" t="str">
        <v>Common</v>
      </c>
      <c r="D97" t="str">
        <v>Max time in use</v>
      </c>
      <c r="E97" t="str">
        <v>h per day</v>
      </c>
      <c r="F97">
        <v>12</v>
      </c>
      <c r="G97">
        <v>12</v>
      </c>
      <c r="H97">
        <v>12</v>
      </c>
      <c r="I97">
        <v>12</v>
      </c>
      <c r="J97">
        <v>12</v>
      </c>
      <c r="K97">
        <v>12</v>
      </c>
      <c r="L97">
        <v>12</v>
      </c>
      <c r="M97" t="str">
        <v>Hours</v>
      </c>
      <c r="N97" s="163" t="str">
        <f>IF(C97="",IF(B96="","","} ")&amp;IF(B99="","","public class "&amp;B97&amp;" {"),"public override ParameterTimeSeries&lt;"&amp;M97&amp;"&gt; "&amp;A97&amp;" { get; } = new ParameterTimeSeries&lt;"&amp;M97&amp;"&gt; { "&amp;_xlfn.TEXTJOIN("f, ",TRUE,F97:L97)&amp;"f };")</f>
        <v>public override ParameterTimeSeries&lt;Hours&gt; Common_Max_time_in_use_h_per_day { get; } = new ParameterTimeSeries&lt;Hours&gt; { 12f, 12f, 12f, 12f, 12f, 12f, 12f };</v>
      </c>
    </row>
    <row r="98" spans="1:14" x14ac:dyDescent="0.35">
      <c r="A98" t="str">
        <v>Common_Power_peak_kW</v>
      </c>
      <c r="B98" t="str">
        <v>MGV16</v>
      </c>
      <c r="C98" t="str">
        <v>Common</v>
      </c>
      <c r="D98" t="str">
        <v>Power, peak</v>
      </c>
      <c r="E98" t="str">
        <v>kW</v>
      </c>
      <c r="F98">
        <v>160</v>
      </c>
      <c r="G98">
        <v>160</v>
      </c>
      <c r="H98">
        <v>160</v>
      </c>
      <c r="I98">
        <v>160</v>
      </c>
      <c r="J98">
        <v>160</v>
      </c>
      <c r="K98">
        <v>160</v>
      </c>
      <c r="L98">
        <v>160</v>
      </c>
      <c r="M98" t="str">
        <v>KiloWatts</v>
      </c>
      <c r="N98" s="163" t="str">
        <f>IF(C98="",IF(B96="","","} ")&amp;IF(B99="","","public class "&amp;B98&amp;" {"),"public override ParameterTimeSeries&lt;"&amp;M98&amp;"&gt; "&amp;A98&amp;" { get; } = new ParameterTimeSeries&lt;"&amp;M98&amp;"&gt; { "&amp;_xlfn.TEXTJOIN("f, ",TRUE,F98:L98)&amp;"f };")</f>
        <v>public override ParameterTimeSeries&lt;KiloWatts&gt; Common_Power_peak_kW { get; } = new ParameterTimeSeries&lt;KiloWatts&gt; { 160f, 160f, 160f, 160f, 160f, 160f, 160f };</v>
      </c>
    </row>
    <row r="99" spans="1:14" x14ac:dyDescent="0.35">
      <c r="A99" t="str">
        <v>Common_Tyres_euro_per_km</v>
      </c>
      <c r="B99" t="str">
        <v>MGV16</v>
      </c>
      <c r="C99" t="str">
        <v>Common</v>
      </c>
      <c r="D99" t="str">
        <v>Tyres</v>
      </c>
      <c r="E99" t="str">
        <v>euro per km</v>
      </c>
      <c r="F99">
        <v>3.0720000000000001E-2</v>
      </c>
      <c r="G99">
        <v>3.0720000000000001E-2</v>
      </c>
      <c r="H99">
        <v>3.0720000000000001E-2</v>
      </c>
      <c r="I99">
        <v>3.0720000000000001E-2</v>
      </c>
      <c r="J99">
        <v>3.0720000000000001E-2</v>
      </c>
      <c r="K99">
        <v>3.0720000000000001E-2</v>
      </c>
      <c r="L99">
        <v>3.0720000000000001E-2</v>
      </c>
      <c r="M99" t="str">
        <v>EuroPerKilometer</v>
      </c>
      <c r="N99" s="163" t="str">
        <f t="shared" si="1"/>
        <v>public override ParameterTimeSeries&lt;EuroPerKilometer&gt; Common_Tyres_euro_per_km { get; } = new ParameterTimeSeries&lt;EuroPerKilometer&gt; { 0.03072f, 0.03072f, 0.03072f, 0.03072f, 0.03072f, 0.03072f, 0.03072f };</v>
      </c>
    </row>
    <row r="100" spans="1:14" x14ac:dyDescent="0.35">
      <c r="A100" t="str">
        <v>Common_Cargo_capacity_value_euro_per_ton_km</v>
      </c>
      <c r="B100" t="str">
        <v>MGV16</v>
      </c>
      <c r="C100" t="str">
        <v>Common</v>
      </c>
      <c r="D100" t="str">
        <v>Cargo capacity value</v>
      </c>
      <c r="E100" t="str">
        <v>euro per ton-km</v>
      </c>
      <c r="F100">
        <v>0.05</v>
      </c>
      <c r="G100">
        <v>0.05</v>
      </c>
      <c r="H100">
        <v>0.05</v>
      </c>
      <c r="I100">
        <v>0.05</v>
      </c>
      <c r="J100">
        <v>0.05</v>
      </c>
      <c r="K100">
        <v>0.05</v>
      </c>
      <c r="L100">
        <v>0.05</v>
      </c>
      <c r="M100" t="str">
        <v>EuroPerTonKilometer</v>
      </c>
      <c r="N100" s="163" t="str">
        <f t="shared" si="1"/>
        <v>public override ParameterTimeSeries&lt;EuroPerTonKilometer&gt; Common_Cargo_capacity_value_euro_per_ton_km { get; } = new ParameterTimeSeries&lt;EuroPerTonKilometer&gt; { 0.05f, 0.05f, 0.05f, 0.05f, 0.05f, 0.05f, 0.05f };</v>
      </c>
    </row>
    <row r="101" spans="1:14" x14ac:dyDescent="0.35">
      <c r="A101" t="str">
        <v>Common_Cargo_capacity_value_euro_per_m3_km</v>
      </c>
      <c r="B101" t="str">
        <v>MGV16</v>
      </c>
      <c r="C101" t="str">
        <v>Common</v>
      </c>
      <c r="D101" t="str">
        <v>Cargo capacity value</v>
      </c>
      <c r="E101" t="str">
        <v>euro per m3-km</v>
      </c>
      <c r="F101">
        <v>1.4000000000000002E-2</v>
      </c>
      <c r="G101">
        <v>1.4000000000000002E-2</v>
      </c>
      <c r="H101">
        <v>1.4000000000000002E-2</v>
      </c>
      <c r="I101">
        <v>1.4000000000000002E-2</v>
      </c>
      <c r="J101">
        <v>1.4000000000000002E-2</v>
      </c>
      <c r="K101">
        <v>1.4000000000000002E-2</v>
      </c>
      <c r="L101">
        <v>1.4000000000000002E-2</v>
      </c>
      <c r="M101" t="str">
        <v>EuroPerCubicMeter</v>
      </c>
      <c r="N101" s="163" t="str">
        <f t="shared" si="1"/>
        <v>public override ParameterTimeSeries&lt;EuroPerCubicMeter&gt; Common_Cargo_capacity_value_euro_per_m3_km { get; } = new ParameterTimeSeries&lt;EuroPerCubicMeter&gt; { 0.014f, 0.014f, 0.014f, 0.014f, 0.014f, 0.014f, 0.014f };</v>
      </c>
    </row>
    <row r="102" spans="1:14" x14ac:dyDescent="0.35">
      <c r="A102" t="str">
        <v>Common_Total_weight_limit_kg</v>
      </c>
      <c r="B102" t="str">
        <v>MGV16</v>
      </c>
      <c r="C102" t="str">
        <v>Common</v>
      </c>
      <c r="D102" t="str">
        <v>Total weight limit</v>
      </c>
      <c r="E102" t="str">
        <v>kg</v>
      </c>
      <c r="F102">
        <v>16000</v>
      </c>
      <c r="G102">
        <v>16000</v>
      </c>
      <c r="H102">
        <v>16000</v>
      </c>
      <c r="I102">
        <v>16000</v>
      </c>
      <c r="J102">
        <v>16000</v>
      </c>
      <c r="K102">
        <v>16000</v>
      </c>
      <c r="L102">
        <v>16000</v>
      </c>
      <c r="M102" t="str">
        <v>Kilogram</v>
      </c>
      <c r="N102" s="163" t="str">
        <f t="shared" si="1"/>
        <v>public override ParameterTimeSeries&lt;Kilogram&gt; Common_Total_weight_limit_kg { get; } = new ParameterTimeSeries&lt;Kilogram&gt; { 16000f, 16000f, 16000f, 16000f, 16000f, 16000f, 16000f };</v>
      </c>
    </row>
    <row r="103" spans="1:14" x14ac:dyDescent="0.35">
      <c r="A103" t="str">
        <v>Common_Depot_stop_h</v>
      </c>
      <c r="B103" t="str">
        <v>MGV16</v>
      </c>
      <c r="C103" t="str">
        <v>Common</v>
      </c>
      <c r="D103" t="str">
        <v>Depot stop</v>
      </c>
      <c r="E103" t="str">
        <v>h</v>
      </c>
      <c r="F103">
        <v>12</v>
      </c>
      <c r="G103">
        <v>12</v>
      </c>
      <c r="H103">
        <v>12</v>
      </c>
      <c r="I103">
        <v>12</v>
      </c>
      <c r="J103">
        <v>12</v>
      </c>
      <c r="K103">
        <v>12</v>
      </c>
      <c r="L103">
        <v>12</v>
      </c>
      <c r="M103" t="str">
        <v>Hours</v>
      </c>
      <c r="N103" s="163" t="str">
        <f t="shared" si="1"/>
        <v>public override ParameterTimeSeries&lt;Hours&gt; Common_Depot_stop_h { get; } = new ParameterTimeSeries&lt;Hours&gt; { 12f, 12f, 12f, 12f, 12f, 12f, 12f };</v>
      </c>
    </row>
    <row r="104" spans="1:14" x14ac:dyDescent="0.35">
      <c r="A104" t="str">
        <v>Common_Destination_stop_h</v>
      </c>
      <c r="B104" t="str">
        <v>MGV16</v>
      </c>
      <c r="C104" t="str">
        <v>Common</v>
      </c>
      <c r="D104" t="str">
        <v>Destination stop</v>
      </c>
      <c r="E104" t="str">
        <v>h</v>
      </c>
      <c r="F104">
        <v>0.2</v>
      </c>
      <c r="G104">
        <v>0.2</v>
      </c>
      <c r="H104">
        <v>0.2</v>
      </c>
      <c r="I104">
        <v>0.2</v>
      </c>
      <c r="J104">
        <v>0.2</v>
      </c>
      <c r="K104">
        <v>0.2</v>
      </c>
      <c r="L104">
        <v>0.2</v>
      </c>
      <c r="M104" t="str">
        <v>Hours</v>
      </c>
      <c r="N104" s="163" t="str">
        <f t="shared" si="1"/>
        <v>public override ParameterTimeSeries&lt;Hours&gt; Common_Destination_stop_h { get; } = new ParameterTimeSeries&lt;Hours&gt; { 0.2f, 0.2f, 0.2f, 0.2f, 0.2f, 0.2f, 0.2f };</v>
      </c>
    </row>
    <row r="105" spans="1:14" x14ac:dyDescent="0.35">
      <c r="A105" t="str">
        <v>Common_Rest_stop_h</v>
      </c>
      <c r="B105" t="str">
        <v>MGV16</v>
      </c>
      <c r="C105" t="str">
        <v>Common</v>
      </c>
      <c r="D105" t="str">
        <v>Rest stop</v>
      </c>
      <c r="E105" t="str">
        <v>h</v>
      </c>
      <c r="F105">
        <v>0.75</v>
      </c>
      <c r="G105">
        <v>0.75</v>
      </c>
      <c r="H105">
        <v>0.75</v>
      </c>
      <c r="I105">
        <v>0.75</v>
      </c>
      <c r="J105">
        <v>0.75</v>
      </c>
      <c r="K105">
        <v>0.75</v>
      </c>
      <c r="L105">
        <v>0.75</v>
      </c>
      <c r="M105" t="str">
        <v>Hours</v>
      </c>
      <c r="N105" s="163" t="str">
        <f t="shared" si="1"/>
        <v>public override ParameterTimeSeries&lt;Hours&gt; Common_Rest_stop_h { get; } = new ParameterTimeSeries&lt;Hours&gt; { 0.75f, 0.75f, 0.75f, 0.75f, 0.75f, 0.75f, 0.75f };</v>
      </c>
    </row>
    <row r="106" spans="1:14" x14ac:dyDescent="0.35">
      <c r="A106" t="str">
        <v>Common_Drive_session_h</v>
      </c>
      <c r="B106" t="str">
        <v>MGV16</v>
      </c>
      <c r="C106" t="str">
        <v>Common</v>
      </c>
      <c r="D106" t="str">
        <v>Drive session</v>
      </c>
      <c r="E106" t="str">
        <v>h</v>
      </c>
      <c r="F106">
        <v>4.5</v>
      </c>
      <c r="G106">
        <v>4.5</v>
      </c>
      <c r="H106">
        <v>4.5</v>
      </c>
      <c r="I106">
        <v>4.5</v>
      </c>
      <c r="J106">
        <v>4.5</v>
      </c>
      <c r="K106">
        <v>4.5</v>
      </c>
      <c r="L106">
        <v>4.5</v>
      </c>
      <c r="M106" t="str">
        <v>Hours</v>
      </c>
      <c r="N106" s="163" t="str">
        <f t="shared" si="1"/>
        <v>public override ParameterTimeSeries&lt;Hours&gt; Common_Drive_session_h { get; } = new ParameterTimeSeries&lt;Hours&gt; { 4.5f, 4.5f, 4.5f, 4.5f, 4.5f, 4.5f, 4.5f };</v>
      </c>
    </row>
    <row r="107" spans="1:14" x14ac:dyDescent="0.35">
      <c r="A107" t="str">
        <v>Common_Driver_cost_euro_per_h</v>
      </c>
      <c r="B107" t="str">
        <v>MGV16</v>
      </c>
      <c r="C107" t="str">
        <v>Common</v>
      </c>
      <c r="D107" t="str">
        <v>Driver cost</v>
      </c>
      <c r="E107" t="str">
        <v>euro per h</v>
      </c>
      <c r="F107">
        <v>30</v>
      </c>
      <c r="G107">
        <v>30</v>
      </c>
      <c r="H107">
        <v>30</v>
      </c>
      <c r="I107">
        <v>30</v>
      </c>
      <c r="J107">
        <v>30</v>
      </c>
      <c r="K107">
        <v>30</v>
      </c>
      <c r="L107">
        <v>30</v>
      </c>
      <c r="M107" t="str">
        <v>EuroPerHour</v>
      </c>
      <c r="N107" s="163" t="str">
        <f t="shared" si="1"/>
        <v>public override ParameterTimeSeries&lt;EuroPerHour&gt; Common_Driver_cost_euro_per_h { get; } = new ParameterTimeSeries&lt;EuroPerHour&gt; { 30f, 30f, 30f, 30f, 30f, 30f, 30f };</v>
      </c>
    </row>
    <row r="108" spans="1:14" x14ac:dyDescent="0.35">
      <c r="A108" t="str">
        <v>ICEV_Chassis_weight_kg</v>
      </c>
      <c r="B108" t="str">
        <v>MGV16</v>
      </c>
      <c r="C108" t="str">
        <v>ICEV</v>
      </c>
      <c r="D108" t="str">
        <v>Chassis weight</v>
      </c>
      <c r="E108" t="str">
        <v>kg</v>
      </c>
      <c r="F108">
        <v>5000</v>
      </c>
      <c r="G108">
        <v>5000</v>
      </c>
      <c r="H108">
        <v>5000</v>
      </c>
      <c r="I108">
        <v>5000</v>
      </c>
      <c r="J108">
        <v>5000</v>
      </c>
      <c r="K108">
        <v>5000</v>
      </c>
      <c r="L108">
        <v>5000</v>
      </c>
      <c r="M108" t="str">
        <v>Kilogram</v>
      </c>
      <c r="N108" s="163" t="str">
        <f t="shared" si="1"/>
        <v>public override ParameterTimeSeries&lt;Kilogram&gt; ICEV_Chassis_weight_kg { get; } = new ParameterTimeSeries&lt;Kilogram&gt; { 5000f, 5000f, 5000f, 5000f, 5000f, 5000f, 5000f };</v>
      </c>
    </row>
    <row r="109" spans="1:14" x14ac:dyDescent="0.35">
      <c r="A109" t="str">
        <v>ICEV_Chassis_cost_2020_euro</v>
      </c>
      <c r="B109" t="str">
        <v>MGV16</v>
      </c>
      <c r="C109" t="str">
        <v>ICEV</v>
      </c>
      <c r="D109" t="str">
        <v>Chassis cost, 2020</v>
      </c>
      <c r="E109" t="str">
        <v>euro</v>
      </c>
      <c r="F109">
        <v>91200</v>
      </c>
      <c r="G109">
        <v>91200</v>
      </c>
      <c r="H109">
        <v>91200</v>
      </c>
      <c r="I109">
        <v>91200</v>
      </c>
      <c r="J109">
        <v>91200</v>
      </c>
      <c r="K109">
        <v>91200</v>
      </c>
      <c r="L109">
        <v>91200</v>
      </c>
      <c r="M109" t="str">
        <v>Euro</v>
      </c>
      <c r="N109" s="163" t="str">
        <f t="shared" si="1"/>
        <v>public override ParameterTimeSeries&lt;Euro&gt; ICEV_Chassis_cost_2020_euro { get; } = new ParameterTimeSeries&lt;Euro&gt; { 91200f, 91200f, 91200f, 91200f, 91200f, 91200f, 91200f };</v>
      </c>
    </row>
    <row r="110" spans="1:14" x14ac:dyDescent="0.35">
      <c r="A110" t="str">
        <v>ICEV_Lifetime_years</v>
      </c>
      <c r="B110" t="str">
        <v>MGV16</v>
      </c>
      <c r="C110" t="str">
        <v>ICEV</v>
      </c>
      <c r="D110" t="str">
        <v>Lifetime</v>
      </c>
      <c r="E110" t="str">
        <v>years</v>
      </c>
      <c r="F110">
        <v>7</v>
      </c>
      <c r="G110">
        <v>7</v>
      </c>
      <c r="H110">
        <v>7</v>
      </c>
      <c r="I110">
        <v>7</v>
      </c>
      <c r="J110">
        <v>7</v>
      </c>
      <c r="K110">
        <v>7</v>
      </c>
      <c r="L110">
        <v>7</v>
      </c>
      <c r="M110" t="str">
        <v>Years</v>
      </c>
      <c r="N110" s="163" t="str">
        <f t="shared" si="1"/>
        <v>public override ParameterTimeSeries&lt;Years&gt; ICEV_Lifetime_years { get; } = new ParameterTimeSeries&lt;Years&gt; { 7f, 7f, 7f, 7f, 7f, 7f, 7f };</v>
      </c>
    </row>
    <row r="111" spans="1:14" x14ac:dyDescent="0.35">
      <c r="A111" t="str">
        <v>ICEV_Maintenance_cost_euro_per_km</v>
      </c>
      <c r="B111" t="str">
        <v>MGV16</v>
      </c>
      <c r="C111" t="str">
        <v>ICEV</v>
      </c>
      <c r="D111" t="str">
        <v>Maintenance cost</v>
      </c>
      <c r="E111" t="str">
        <v>euro per km</v>
      </c>
      <c r="F111">
        <v>0.10176</v>
      </c>
      <c r="G111">
        <v>0.10176</v>
      </c>
      <c r="H111">
        <v>0.10176</v>
      </c>
      <c r="I111">
        <v>0.10176</v>
      </c>
      <c r="J111">
        <v>0.10176</v>
      </c>
      <c r="K111">
        <v>0.10176</v>
      </c>
      <c r="L111">
        <v>0.10176</v>
      </c>
      <c r="M111" t="str">
        <v>EuroPerKilometer</v>
      </c>
      <c r="N111" s="163" t="str">
        <f t="shared" si="1"/>
        <v>public override ParameterTimeSeries&lt;EuroPerKilometer&gt; ICEV_Maintenance_cost_euro_per_km { get; } = new ParameterTimeSeries&lt;EuroPerKilometer&gt; { 0.10176f, 0.10176f, 0.10176f, 0.10176f, 0.10176f, 0.10176f, 0.10176f };</v>
      </c>
    </row>
    <row r="112" spans="1:14" x14ac:dyDescent="0.35">
      <c r="A112" t="str">
        <v>ICEV_Residual_value_at_end_of_life_ratio</v>
      </c>
      <c r="B112" t="str">
        <v>MGV16</v>
      </c>
      <c r="C112" t="str">
        <v>ICEV</v>
      </c>
      <c r="D112" t="str">
        <v>Residual value at end of life</v>
      </c>
      <c r="E112" t="str">
        <v>ratio</v>
      </c>
      <c r="F112">
        <v>0.09</v>
      </c>
      <c r="G112">
        <v>0.09</v>
      </c>
      <c r="H112">
        <v>0.09</v>
      </c>
      <c r="I112">
        <v>0.09</v>
      </c>
      <c r="J112">
        <v>0.09</v>
      </c>
      <c r="K112">
        <v>0.09</v>
      </c>
      <c r="L112">
        <v>0.09</v>
      </c>
      <c r="M112" t="str">
        <v>Dimensionless</v>
      </c>
      <c r="N112" s="163" t="str">
        <f t="shared" si="1"/>
        <v>public override ParameterTimeSeries&lt;Dimensionless&gt; ICEV_Residual_value_at_end_of_life_ratio { get; } = new ParameterTimeSeries&lt;Dimensionless&gt; { 0.09f, 0.09f, 0.09f, 0.09f, 0.09f, 0.09f, 0.09f };</v>
      </c>
    </row>
    <row r="113" spans="1:14" x14ac:dyDescent="0.35">
      <c r="A113" t="str">
        <v>ICEV_Fuel_consumption_liter_per_km</v>
      </c>
      <c r="B113" t="str">
        <v>MGV16</v>
      </c>
      <c r="C113" t="str">
        <v>ICEV</v>
      </c>
      <c r="D113" t="str">
        <v>Fuel consumption</v>
      </c>
      <c r="E113" t="str">
        <v>liter per km</v>
      </c>
      <c r="F113">
        <v>0.16</v>
      </c>
      <c r="G113">
        <v>0.15603980049950003</v>
      </c>
      <c r="H113">
        <v>0.15217762087452352</v>
      </c>
      <c r="I113">
        <v>0.1484110350109325</v>
      </c>
      <c r="J113">
        <v>0.14473767684393885</v>
      </c>
      <c r="K113">
        <v>0.14115523887180825</v>
      </c>
      <c r="L113">
        <v>0.13766147070635143</v>
      </c>
      <c r="M113" t="str">
        <v>LiterPerKilometer</v>
      </c>
      <c r="N113" s="163" t="str">
        <f t="shared" si="1"/>
        <v>public override ParameterTimeSeries&lt;LiterPerKilometer&gt; ICEV_Fuel_consumption_liter_per_km { get; } = new ParameterTimeSeries&lt;LiterPerKilometer&gt; { 0.16f, 0.1560398004995f, 0.152177620874524f, 0.148411035010933f, 0.144737676843939f, 0.141155238871808f, 0.137661470706351f };</v>
      </c>
    </row>
    <row r="114" spans="1:14" x14ac:dyDescent="0.35">
      <c r="A114" t="str">
        <v>BEV_Maintenance_cost_euro_per_km</v>
      </c>
      <c r="B114" t="str">
        <v>MGV16</v>
      </c>
      <c r="C114" t="str">
        <v>BEV</v>
      </c>
      <c r="D114" t="str">
        <v>Maintenance cost</v>
      </c>
      <c r="E114" t="str">
        <v>euro per km</v>
      </c>
      <c r="F114">
        <v>4.0704000000000004E-2</v>
      </c>
      <c r="G114">
        <v>4.0704000000000004E-2</v>
      </c>
      <c r="H114">
        <v>4.0704000000000004E-2</v>
      </c>
      <c r="I114">
        <v>4.0704000000000004E-2</v>
      </c>
      <c r="J114">
        <v>4.0704000000000004E-2</v>
      </c>
      <c r="K114">
        <v>4.0704000000000004E-2</v>
      </c>
      <c r="L114">
        <v>4.0704000000000004E-2</v>
      </c>
      <c r="M114" t="str">
        <v>EuroPerKilometer</v>
      </c>
      <c r="N114" s="163" t="str">
        <f t="shared" si="1"/>
        <v>public override ParameterTimeSeries&lt;EuroPerKilometer&gt; BEV_Maintenance_cost_euro_per_km { get; } = new ParameterTimeSeries&lt;EuroPerKilometer&gt; { 0.040704f, 0.040704f, 0.040704f, 0.040704f, 0.040704f, 0.040704f, 0.040704f };</v>
      </c>
    </row>
    <row r="115" spans="1:14" x14ac:dyDescent="0.35">
      <c r="A115" t="str">
        <v>BEV_Residual_value_at_end_of_life_ratio</v>
      </c>
      <c r="B115" t="str">
        <v>MGV16</v>
      </c>
      <c r="C115" t="str">
        <v>BEV</v>
      </c>
      <c r="D115" t="str">
        <v>Residual value at end of life</v>
      </c>
      <c r="E115" t="str">
        <v>ratio</v>
      </c>
      <c r="F115">
        <v>0.09</v>
      </c>
      <c r="G115">
        <v>0.09</v>
      </c>
      <c r="H115">
        <v>0.09</v>
      </c>
      <c r="I115">
        <v>0.09</v>
      </c>
      <c r="J115">
        <v>0.09</v>
      </c>
      <c r="K115">
        <v>0.09</v>
      </c>
      <c r="L115">
        <v>0.09</v>
      </c>
      <c r="M115" t="str">
        <v>Dimensionless</v>
      </c>
      <c r="N115" s="163" t="str">
        <f t="shared" si="1"/>
        <v>public override ParameterTimeSeries&lt;Dimensionless&gt; BEV_Residual_value_at_end_of_life_ratio { get; } = new ParameterTimeSeries&lt;Dimensionless&gt; { 0.09f, 0.09f, 0.09f, 0.09f, 0.09f, 0.09f, 0.09f };</v>
      </c>
    </row>
    <row r="116" spans="1:14" x14ac:dyDescent="0.35">
      <c r="A116" t="str">
        <v>BEV_Energy_consumption_kWh_per_km</v>
      </c>
      <c r="B116" t="str">
        <v>MGV16</v>
      </c>
      <c r="C116" t="str">
        <v>BEV</v>
      </c>
      <c r="D116" t="str">
        <v>Energy consumption</v>
      </c>
      <c r="E116" t="str">
        <v>kWh per km</v>
      </c>
      <c r="F116">
        <v>0.46633795764705877</v>
      </c>
      <c r="G116">
        <v>0.45251469631065522</v>
      </c>
      <c r="H116">
        <v>0.43910118620903987</v>
      </c>
      <c r="I116">
        <v>0.42608528143320296</v>
      </c>
      <c r="J116">
        <v>0.41345519610503434</v>
      </c>
      <c r="K116">
        <v>0.40119949370523217</v>
      </c>
      <c r="L116">
        <v>0.38930707671755577</v>
      </c>
      <c r="M116" t="str">
        <v>KiloWattHoursPerKilometer</v>
      </c>
      <c r="N116" s="163" t="str">
        <f t="shared" si="1"/>
        <v>public override ParameterTimeSeries&lt;KiloWattHoursPerKilometer&gt; BEV_Energy_consumption_kWh_per_km { get; } = new ParameterTimeSeries&lt;KiloWattHoursPerKilometer&gt; { 0.466337957647059f, 0.452514696310655f, 0.43910118620904f, 0.426085281433203f, 0.413455196105034f, 0.401199493705232f, 0.389307076717556f };</v>
      </c>
    </row>
    <row r="117" spans="1:14" x14ac:dyDescent="0.35">
      <c r="A117" t="str">
        <v>BEV_Min_range_buffer_km</v>
      </c>
      <c r="B117" t="str">
        <v>MGV16</v>
      </c>
      <c r="C117" t="str">
        <v>BEV</v>
      </c>
      <c r="D117" t="str">
        <v>Min range buffer</v>
      </c>
      <c r="E117" t="str">
        <v>km</v>
      </c>
      <c r="F117">
        <v>20</v>
      </c>
      <c r="G117">
        <v>20</v>
      </c>
      <c r="H117">
        <v>20</v>
      </c>
      <c r="I117">
        <v>20</v>
      </c>
      <c r="J117">
        <v>20</v>
      </c>
      <c r="K117">
        <v>20</v>
      </c>
      <c r="L117">
        <v>20</v>
      </c>
      <c r="M117" t="str">
        <v>Kilometers</v>
      </c>
      <c r="N117" s="163" t="str">
        <f t="shared" si="1"/>
        <v>public override ParameterTimeSeries&lt;Kilometers&gt; BEV_Min_range_buffer_km { get; } = new ParameterTimeSeries&lt;Kilometers&gt; { 20f, 20f, 20f, 20f, 20f, 20f, 20f };</v>
      </c>
    </row>
    <row r="118" spans="1:14" x14ac:dyDescent="0.35">
      <c r="A118" t="str">
        <v>BEV_Lifetime_years</v>
      </c>
      <c r="B118" t="str">
        <v>MGV16</v>
      </c>
      <c r="C118" t="str">
        <v>BEV</v>
      </c>
      <c r="D118" t="str">
        <v>Lifetime</v>
      </c>
      <c r="E118" t="str">
        <v>years</v>
      </c>
      <c r="F118">
        <v>7</v>
      </c>
      <c r="G118">
        <v>8.6666666666666661</v>
      </c>
      <c r="H118">
        <v>10.333333333333334</v>
      </c>
      <c r="I118">
        <v>12</v>
      </c>
      <c r="J118">
        <v>12</v>
      </c>
      <c r="K118">
        <v>12</v>
      </c>
      <c r="L118">
        <v>12</v>
      </c>
      <c r="M118" t="str">
        <v>Years</v>
      </c>
      <c r="N118" s="163" t="str">
        <f t="shared" si="1"/>
        <v>public override ParameterTimeSeries&lt;Years&gt; BEV_Lifetime_years { get; } = new ParameterTimeSeries&lt;Years&gt; { 7f, 8.66666666666667f, 10.3333333333333f, 12f, 12f, 12f, 12f };</v>
      </c>
    </row>
    <row r="119" spans="1:14" x14ac:dyDescent="0.35">
      <c r="A119" t="str">
        <v>ICEV_Chassis_cost_euro</v>
      </c>
      <c r="B119" t="str">
        <v>MGV16</v>
      </c>
      <c r="C119" t="str">
        <v>ICEV</v>
      </c>
      <c r="D119" t="str">
        <v>Chassis cost</v>
      </c>
      <c r="E119" t="str">
        <v>euro</v>
      </c>
      <c r="F119">
        <v>91200</v>
      </c>
      <c r="G119">
        <v>91957.364577452739</v>
      </c>
      <c r="H119">
        <v>92753.362359945299</v>
      </c>
      <c r="I119">
        <v>93589.964029202296</v>
      </c>
      <c r="J119">
        <v>94469.24079152185</v>
      </c>
      <c r="K119">
        <v>95393.369505539085</v>
      </c>
      <c r="L119">
        <v>96364.638071557187</v>
      </c>
      <c r="M119" t="str">
        <v>Euro</v>
      </c>
      <c r="N119" s="163" t="str">
        <f t="shared" si="1"/>
        <v>public override ParameterTimeSeries&lt;Euro&gt; ICEV_Chassis_cost_euro { get; } = new ParameterTimeSeries&lt;Euro&gt; { 91200f, 91957.3645774527f, 92753.3623599453f, 93589.9640292023f, 94469.2407915219f, 95393.3695055391f, 96364.6380715572f };</v>
      </c>
    </row>
    <row r="120" spans="1:14" x14ac:dyDescent="0.35">
      <c r="A120" t="str">
        <v>BEV_Chassis_weight_excl_battery_kg</v>
      </c>
      <c r="B120" t="str">
        <v>MGV16</v>
      </c>
      <c r="C120" t="str">
        <v>BEV</v>
      </c>
      <c r="D120" t="str">
        <v>Chassis weight, excl battery</v>
      </c>
      <c r="E120" t="str">
        <v>kg</v>
      </c>
      <c r="F120">
        <v>3886.4</v>
      </c>
      <c r="G120">
        <v>3886.4</v>
      </c>
      <c r="H120">
        <v>3886.4</v>
      </c>
      <c r="I120">
        <v>3886.4</v>
      </c>
      <c r="J120">
        <v>3886.4</v>
      </c>
      <c r="K120">
        <v>3886.4</v>
      </c>
      <c r="L120">
        <v>3886.4</v>
      </c>
      <c r="M120" t="str">
        <v>Kilogram</v>
      </c>
      <c r="N120" s="163" t="str">
        <f t="shared" si="1"/>
        <v>public override ParameterTimeSeries&lt;Kilogram&gt; BEV_Chassis_weight_excl_battery_kg { get; } = new ParameterTimeSeries&lt;Kilogram&gt; { 3886.4f, 3886.4f, 3886.4f, 3886.4f, 3886.4f, 3886.4f, 3886.4f };</v>
      </c>
    </row>
    <row r="121" spans="1:14" x14ac:dyDescent="0.35">
      <c r="A121" t="str">
        <v>BEV_Chassis_cost_excl_battery_euro</v>
      </c>
      <c r="B121" t="str">
        <v>MGV16</v>
      </c>
      <c r="C121" t="str">
        <v>BEV</v>
      </c>
      <c r="D121" t="str">
        <v>Chassis cost, excl battery</v>
      </c>
      <c r="E121" t="str">
        <v>euro</v>
      </c>
      <c r="F121">
        <v>86355.072</v>
      </c>
      <c r="G121">
        <v>85394.046303377821</v>
      </c>
      <c r="H121">
        <v>84525.355189941809</v>
      </c>
      <c r="I121">
        <v>83740.127226511671</v>
      </c>
      <c r="J121">
        <v>83030.34334013825</v>
      </c>
      <c r="K121">
        <v>82388.754924011795</v>
      </c>
      <c r="L121">
        <v>81808.809811689105</v>
      </c>
      <c r="M121" t="str">
        <v>Euro</v>
      </c>
      <c r="N121" s="163" t="str">
        <f t="shared" si="1"/>
        <v>public override ParameterTimeSeries&lt;Euro&gt; BEV_Chassis_cost_excl_battery_euro { get; } = new ParameterTimeSeries&lt;Euro&gt; { 86355.072f, 85394.0463033778f, 84525.3551899418f, 83740.1272265117f, 83030.3433401382f, 82388.7549240118f, 81808.8098116891f };</v>
      </c>
    </row>
    <row r="122" spans="1:14" x14ac:dyDescent="0.35">
      <c r="A122" t="str">
        <v>BEV_Min_net_battery_capacity_kWh</v>
      </c>
      <c r="B122" t="str">
        <v>MGV16</v>
      </c>
      <c r="C122" t="str">
        <v>BEV</v>
      </c>
      <c r="D122" t="str">
        <v>Min net battery capacity</v>
      </c>
      <c r="E122" t="str">
        <v>kWh</v>
      </c>
      <c r="F122">
        <v>46.222222222222229</v>
      </c>
      <c r="G122">
        <v>48.219723596548626</v>
      </c>
      <c r="H122">
        <v>43.836608288251803</v>
      </c>
      <c r="I122">
        <v>37.757986184502677</v>
      </c>
      <c r="J122">
        <v>31.744247591334307</v>
      </c>
      <c r="K122">
        <v>26.383215091862109</v>
      </c>
      <c r="L122">
        <v>21.804981351675767</v>
      </c>
      <c r="M122" t="str">
        <v>KiloWattHours</v>
      </c>
      <c r="N122" s="163" t="str">
        <f t="shared" si="1"/>
        <v>public override ParameterTimeSeries&lt;KiloWattHours&gt; BEV_Min_net_battery_capacity_kWh { get; } = new ParameterTimeSeries&lt;KiloWattHours&gt; { 46.2222222222222f, 48.2197235965486f, 43.8366082882518f, 37.7579861845027f, 31.7442475913343f, 26.3832150918621f, 21.8049813516758f };</v>
      </c>
    </row>
    <row r="123" spans="1:14" x14ac:dyDescent="0.35">
      <c r="A123" t="str">
        <v>_</v>
      </c>
      <c r="B123" s="4" t="s">
        <v>242</v>
      </c>
      <c r="N123" s="163" t="str">
        <f>IF(C123="",IF(B122="","","} ")&amp;IF(B124="","","public class "&amp;B123&amp;" {"),"public ParameterTimeSeries&lt;"&amp;M123&amp;"&gt; "&amp;A123&amp;" { get; } = new ParameterTimeSeries&lt;"&amp;M123&amp;"&gt; { "&amp;_xlfn.TEXTJOIN("f, ",TRUE,F123:L123)&amp;"f };")</f>
        <v>} public class WorldInternal {</v>
      </c>
    </row>
    <row r="124" spans="1:14" x14ac:dyDescent="0.35">
      <c r="A124" t="str">
        <v>Economy_Public_sector_interest_rate_percent</v>
      </c>
      <c r="B124" t="str" cm="1">
        <f t="array" ref="B124:L156">world!A2:K34</f>
        <v>World</v>
      </c>
      <c r="C124" t="str">
        <v>Economy</v>
      </c>
      <c r="D124" t="str">
        <v>Public sector interest rate</v>
      </c>
      <c r="E124" t="str">
        <v>percent</v>
      </c>
      <c r="F124">
        <v>0.02</v>
      </c>
      <c r="G124">
        <v>0.02</v>
      </c>
      <c r="H124">
        <v>0.02</v>
      </c>
      <c r="I124">
        <v>0.02</v>
      </c>
      <c r="J124">
        <v>0.02</v>
      </c>
      <c r="K124">
        <v>0.02</v>
      </c>
      <c r="L124">
        <v>0.02</v>
      </c>
      <c r="M124" t="s">
        <v>368</v>
      </c>
      <c r="N124" s="163" t="str">
        <f t="shared" ref="N124:N195" si="2">IF(C124="",IF(B123="","","} ")&amp;IF(B125="","","public class "&amp;B124&amp;" {"),"public ParameterTimeSeries&lt;"&amp;M124&amp;"&gt; "&amp;A124&amp;" { get; } = new ParameterTimeSeries&lt;"&amp;M124&amp;"&gt; { "&amp;_xlfn.TEXTJOIN("f, ",TRUE,F124:L124)&amp;"f };")</f>
        <v>public ParameterTimeSeries&lt;OtherUnit&gt; Economy_Public_sector_interest_rate_percent { get; } = new ParameterTimeSeries&lt;OtherUnit&gt; { 0.02f, 0.02f, 0.02f, 0.02f, 0.02f, 0.02f, 0.02f };</v>
      </c>
    </row>
    <row r="125" spans="1:14" x14ac:dyDescent="0.35">
      <c r="A125" t="str">
        <v>Economy_Private_sector_interest_public_charging_and_trucks_percent</v>
      </c>
      <c r="B125" t="str">
        <v>World</v>
      </c>
      <c r="C125" t="str">
        <v>Economy</v>
      </c>
      <c r="D125" t="str">
        <v>Private sector interest public charging and trucks</v>
      </c>
      <c r="E125" t="str">
        <v>percent</v>
      </c>
      <c r="F125">
        <v>0.03</v>
      </c>
      <c r="G125">
        <v>0.03</v>
      </c>
      <c r="H125">
        <v>0.03</v>
      </c>
      <c r="I125">
        <v>0.03</v>
      </c>
      <c r="J125">
        <v>0.03</v>
      </c>
      <c r="K125">
        <v>0.03</v>
      </c>
      <c r="L125">
        <v>0.03</v>
      </c>
      <c r="M125" t="s">
        <v>368</v>
      </c>
      <c r="N125" s="163" t="str">
        <f>IF(C125="",IF(B124="","","} ")&amp;IF(B127="","","public class "&amp;B125&amp;" {"),"public ParameterTimeSeries&lt;"&amp;M125&amp;"&gt; "&amp;A125&amp;" { get; } = new ParameterTimeSeries&lt;"&amp;M125&amp;"&gt; { "&amp;_xlfn.TEXTJOIN("f, ",TRUE,F125:L125)&amp;"f };")</f>
        <v>public ParameterTimeSeries&lt;OtherUnit&gt; Economy_Private_sector_interest_public_charging_and_trucks_percent { get; } = new ParameterTimeSeries&lt;OtherUnit&gt; { 0.03f, 0.03f, 0.03f, 0.03f, 0.03f, 0.03f, 0.03f };</v>
      </c>
    </row>
    <row r="126" spans="1:14" x14ac:dyDescent="0.35">
      <c r="A126" t="str">
        <v>Economy_Private_sector_interest_depot_charging_percent</v>
      </c>
      <c r="B126" t="str">
        <v>World</v>
      </c>
      <c r="C126" t="str">
        <v>Economy</v>
      </c>
      <c r="D126" t="str">
        <v>Private sector interest depot charging</v>
      </c>
      <c r="E126" t="str">
        <v>percent</v>
      </c>
      <c r="F126">
        <v>7.0000000000000007E-2</v>
      </c>
      <c r="G126">
        <v>7.0000000000000007E-2</v>
      </c>
      <c r="H126">
        <v>7.0000000000000007E-2</v>
      </c>
      <c r="I126">
        <v>7.0000000000000007E-2</v>
      </c>
      <c r="J126">
        <v>7.0000000000000007E-2</v>
      </c>
      <c r="K126">
        <v>7.0000000000000007E-2</v>
      </c>
      <c r="L126">
        <v>7.0000000000000007E-2</v>
      </c>
      <c r="M126" t="s">
        <v>368</v>
      </c>
      <c r="N126" s="163" t="str">
        <f>IF(C126="",IF(B125="","","} ")&amp;IF(B129="","","public class "&amp;B126&amp;" {"),"public ParameterTimeSeries&lt;"&amp;M126&amp;"&gt; "&amp;A126&amp;" { get; } = new ParameterTimeSeries&lt;"&amp;M126&amp;"&gt; { "&amp;_xlfn.TEXTJOIN("f, ",TRUE,F126:L126)&amp;"f };")</f>
        <v>public ParameterTimeSeries&lt;OtherUnit&gt; Economy_Private_sector_interest_depot_charging_percent { get; } = new ParameterTimeSeries&lt;OtherUnit&gt; { 0.07f, 0.07f, 0.07f, 0.07f, 0.07f, 0.07f, 0.07f };</v>
      </c>
    </row>
    <row r="127" spans="1:14" x14ac:dyDescent="0.35">
      <c r="A127" t="str">
        <v>Economy_Heavy_traffic_volume_vs_2020_percent</v>
      </c>
      <c r="B127" t="str">
        <v>World</v>
      </c>
      <c r="C127" t="str">
        <v>Economy</v>
      </c>
      <c r="D127" t="str">
        <v>Heavy traffic volume vs 2020</v>
      </c>
      <c r="E127" t="str">
        <v>percent</v>
      </c>
      <c r="F127">
        <v>2.5</v>
      </c>
      <c r="G127">
        <v>2.6667802829407314</v>
      </c>
      <c r="H127">
        <v>2.8446868309925804</v>
      </c>
      <c r="I127">
        <v>3.0344619008128673</v>
      </c>
      <c r="J127">
        <v>3.2368972665690436</v>
      </c>
      <c r="K127">
        <v>3.4528375233564308</v>
      </c>
      <c r="L127">
        <v>3.683183610993936</v>
      </c>
      <c r="M127" t="s">
        <v>354</v>
      </c>
      <c r="N127" s="163" t="str">
        <f>IF(C127="",IF(B125="","","} ")&amp;IF(B129="","","public class "&amp;B127&amp;" {"),"public ParameterTimeSeries&lt;"&amp;M127&amp;"&gt; "&amp;A127&amp;" { get; } = new ParameterTimeSeries&lt;"&amp;M127&amp;"&gt; { "&amp;_xlfn.TEXTJOIN("f, ",TRUE,F127:L127)&amp;"f };")</f>
        <v>public ParameterTimeSeries&lt;Dimensionless&gt; Economy_Heavy_traffic_volume_vs_2020_percent { get; } = new ParameterTimeSeries&lt;Dimensionless&gt; { 2.5f, 2.66678028294073f, 2.84468683099258f, 3.03446190081287f, 3.23689726656904f, 3.45283752335643f, 3.68318361099394f };</v>
      </c>
    </row>
    <row r="128" spans="1:14" x14ac:dyDescent="0.35">
      <c r="A128" t="str">
        <v>Economy_Logistic_BEV_penalty_percent</v>
      </c>
      <c r="B128" t="str">
        <v>World</v>
      </c>
      <c r="C128" t="str">
        <v>Economy</v>
      </c>
      <c r="D128" t="str">
        <v>Logistic BEV penalty</v>
      </c>
      <c r="E128" t="str">
        <v>percent</v>
      </c>
      <c r="F128">
        <v>0.15</v>
      </c>
      <c r="G128">
        <v>0.125</v>
      </c>
      <c r="H128">
        <v>0.1</v>
      </c>
      <c r="I128">
        <v>7.5000000000000011E-2</v>
      </c>
      <c r="J128">
        <v>5.0000000000000017E-2</v>
      </c>
      <c r="K128">
        <v>2.5000000000000019E-2</v>
      </c>
      <c r="L128">
        <v>0</v>
      </c>
      <c r="M128" t="s">
        <v>354</v>
      </c>
      <c r="N128" s="163" t="str">
        <f>IF(C128="",IF(B126="","","} ")&amp;IF(B130="","","public class "&amp;B128&amp;" {"),"public ParameterTimeSeries&lt;"&amp;M128&amp;"&gt; "&amp;A128&amp;" { get; } = new ParameterTimeSeries&lt;"&amp;M128&amp;"&gt; { "&amp;_xlfn.TEXTJOIN("f, ",TRUE,F128:L128)&amp;"f };")</f>
        <v>public ParameterTimeSeries&lt;Dimensionless&gt; Economy_Logistic_BEV_penalty_percent { get; } = new ParameterTimeSeries&lt;Dimensionless&gt; { 0.15f, 0.125f, 0.1f, 0.075f, 0.05f, 0.025f, 0f };</v>
      </c>
    </row>
    <row r="129" spans="1:14" x14ac:dyDescent="0.35">
      <c r="A129" t="str">
        <v>Charging_Extra_stop_overhead_h</v>
      </c>
      <c r="B129" t="str">
        <v>World</v>
      </c>
      <c r="C129" t="str">
        <v>Charging</v>
      </c>
      <c r="D129" t="str">
        <v>Extra stop overhead</v>
      </c>
      <c r="E129" t="str">
        <v>h</v>
      </c>
      <c r="F129">
        <v>0.25</v>
      </c>
      <c r="G129">
        <v>0.21468350642499998</v>
      </c>
      <c r="H129">
        <v>0.18435603172373205</v>
      </c>
      <c r="I129">
        <v>0.15831279728419731</v>
      </c>
      <c r="J129">
        <v>0.13594858573168678</v>
      </c>
      <c r="K129">
        <v>0.11674367631359295</v>
      </c>
      <c r="L129">
        <v>0.1002517671357894</v>
      </c>
      <c r="M129" t="s">
        <v>344</v>
      </c>
      <c r="N129" s="163" t="str">
        <f>IF(C129="",IF(B127="","","} ")&amp;IF(B130="","","public class "&amp;B129&amp;" {"),"public ParameterTimeSeries&lt;"&amp;M129&amp;"&gt; "&amp;A129&amp;" { get; } = new ParameterTimeSeries&lt;"&amp;M129&amp;"&gt; { "&amp;_xlfn.TEXTJOIN("f, ",TRUE,F129:L129)&amp;"f };")</f>
        <v>public ParameterTimeSeries&lt;Hours&gt; Charging_Extra_stop_overhead_h { get; } = new ParameterTimeSeries&lt;Hours&gt; { 0.25f, 0.214683506425f, 0.184356031723732f, 0.158312797284197f, 0.135948585731687f, 0.116743676313593f, 0.100251767135789f };</v>
      </c>
    </row>
    <row r="130" spans="1:14" x14ac:dyDescent="0.35">
      <c r="A130" t="str">
        <v>CO2_SCC_euro_per_kg</v>
      </c>
      <c r="B130" t="str">
        <v>World</v>
      </c>
      <c r="C130" t="str">
        <v>CO₂</v>
      </c>
      <c r="D130" t="str">
        <v>SCC</v>
      </c>
      <c r="E130" t="str">
        <v>euro per kg</v>
      </c>
      <c r="F130">
        <v>0.08</v>
      </c>
      <c r="G130">
        <v>0.16500000000000001</v>
      </c>
      <c r="H130">
        <v>0.25</v>
      </c>
      <c r="I130">
        <v>0.38750000000000001</v>
      </c>
      <c r="J130">
        <v>0.52500000000000002</v>
      </c>
      <c r="K130">
        <v>0.66250000000000009</v>
      </c>
      <c r="L130">
        <v>0.8</v>
      </c>
      <c r="M130" t="s">
        <v>358</v>
      </c>
      <c r="N130" s="163" t="str">
        <f t="shared" si="2"/>
        <v>public ParameterTimeSeries&lt;EuroPerKilogram&gt; CO2_SCC_euro_per_kg { get; } = new ParameterTimeSeries&lt;EuroPerKilogram&gt; { 0.08f, 0.165f, 0.25f, 0.3875f, 0.525f, 0.6625f, 0.8f };</v>
      </c>
    </row>
    <row r="131" spans="1:14" x14ac:dyDescent="0.35">
      <c r="A131" t="str">
        <v>CO2_Tax_ratio_of_SCC</v>
      </c>
      <c r="B131" t="str">
        <v>World</v>
      </c>
      <c r="C131" t="str">
        <v>CO₂</v>
      </c>
      <c r="D131" t="str">
        <v>Tax</v>
      </c>
      <c r="E131" t="str">
        <v>ratio of SCC</v>
      </c>
      <c r="F131">
        <v>0.7</v>
      </c>
      <c r="G131">
        <v>0.75</v>
      </c>
      <c r="H131">
        <v>0.8</v>
      </c>
      <c r="I131">
        <v>0.85000000000000009</v>
      </c>
      <c r="J131">
        <v>0.90000000000000013</v>
      </c>
      <c r="K131">
        <v>0.95000000000000018</v>
      </c>
      <c r="L131">
        <v>1.0000000000000002</v>
      </c>
      <c r="M131" t="s">
        <v>354</v>
      </c>
      <c r="N131" s="163" t="str">
        <f>IF(C131="",IF(B130="","","} ")&amp;IF(B138="","","public class "&amp;B131&amp;" {"),"public ParameterTimeSeries&lt;"&amp;M131&amp;"&gt; "&amp;A131&amp;" { get; } = new ParameterTimeSeries&lt;"&amp;M131&amp;"&gt; { "&amp;_xlfn.TEXTJOIN("f, ",TRUE,F131:L131)&amp;"f };")</f>
        <v>public ParameterTimeSeries&lt;Dimensionless&gt; CO2_Tax_ratio_of_SCC { get; } = new ParameterTimeSeries&lt;Dimensionless&gt; { 0.7f, 0.75f, 0.8f, 0.85f, 0.9f, 0.95f, 1f };</v>
      </c>
    </row>
    <row r="132" spans="1:14" x14ac:dyDescent="0.35">
      <c r="A132" t="str">
        <v>FossilDiesel_Price_euro_per_liter</v>
      </c>
      <c r="B132" t="str">
        <v>World</v>
      </c>
      <c r="C132" t="str">
        <v>FossilDiesel</v>
      </c>
      <c r="D132" t="str">
        <v>Price</v>
      </c>
      <c r="E132" t="str">
        <v>euro per liter</v>
      </c>
      <c r="F132">
        <v>0.6</v>
      </c>
      <c r="G132">
        <v>0.63687443035729918</v>
      </c>
      <c r="H132">
        <v>0.67601506673822387</v>
      </c>
      <c r="I132">
        <v>0.71756118423642989</v>
      </c>
      <c r="J132">
        <v>0.76166061742847546</v>
      </c>
      <c r="K132">
        <v>0.8084702864172485</v>
      </c>
      <c r="L132">
        <v>0.85815675520464607</v>
      </c>
      <c r="M132" t="s">
        <v>359</v>
      </c>
      <c r="N132" s="163" t="str">
        <f>IF(C132="",IF(B131="","","} ")&amp;IF(B139="","","public class "&amp;B132&amp;" {"),"public ParameterTimeSeries&lt;"&amp;M132&amp;"&gt; "&amp;A132&amp;" { get; } = new ParameterTimeSeries&lt;"&amp;M132&amp;"&gt; { "&amp;_xlfn.TEXTJOIN("f, ",TRUE,F132:L132)&amp;"f };")</f>
        <v>public ParameterTimeSeries&lt;EuroPerLiter&gt; FossilDiesel_Price_euro_per_liter { get; } = new ParameterTimeSeries&lt;EuroPerLiter&gt; { 0.6f, 0.636874430357299f, 0.676015066738224f, 0.71756118423643f, 0.761660617428475f, 0.808470286417248f, 0.858156755204646f };</v>
      </c>
    </row>
    <row r="133" spans="1:14" x14ac:dyDescent="0.35">
      <c r="A133" t="str">
        <v>RenewableDiesel_Price_euro_per_liter</v>
      </c>
      <c r="B133" t="str">
        <v>World</v>
      </c>
      <c r="C133" t="str">
        <v>RenewableDiesel</v>
      </c>
      <c r="D133" t="str">
        <v>Price</v>
      </c>
      <c r="E133" t="str">
        <v>euro per liter</v>
      </c>
      <c r="F133">
        <v>1.5</v>
      </c>
      <c r="G133">
        <v>1.5</v>
      </c>
      <c r="H133">
        <v>1.592186075893248</v>
      </c>
      <c r="I133">
        <v>1.6900376668455597</v>
      </c>
      <c r="J133">
        <v>1.7939029605910748</v>
      </c>
      <c r="K133">
        <v>1.9041515435711887</v>
      </c>
      <c r="L133">
        <v>2.0211757160431212</v>
      </c>
      <c r="M133" t="s">
        <v>359</v>
      </c>
      <c r="N133" s="163" t="str">
        <f>IF(C133="",IF(B132="","","} ")&amp;IF(B140="","","public class "&amp;B133&amp;" {"),"public ParameterTimeSeries&lt;"&amp;M133&amp;"&gt; "&amp;A133&amp;" { get; } = new ParameterTimeSeries&lt;"&amp;M133&amp;"&gt; { "&amp;_xlfn.TEXTJOIN("f, ",TRUE,F133:L133)&amp;"f };")</f>
        <v>public ParameterTimeSeries&lt;EuroPerLiter&gt; RenewableDiesel_Price_euro_per_liter { get; } = new ParameterTimeSeries&lt;EuroPerLiter&gt; { 1.5f, 1.5f, 1.59218607589325f, 1.69003766684556f, 1.79390296059107f, 1.90415154357119f, 2.02117571604312f };</v>
      </c>
    </row>
    <row r="134" spans="1:14" x14ac:dyDescent="0.35">
      <c r="A134" t="str">
        <v>RenewableDiesel_Supply_cap_liter_per_year</v>
      </c>
      <c r="B134" t="str">
        <v>World</v>
      </c>
      <c r="C134" t="str">
        <v>RenewableDiesel</v>
      </c>
      <c r="D134" t="str">
        <v>Supply cap</v>
      </c>
      <c r="E134" t="str">
        <v>liter per year</v>
      </c>
      <c r="F134">
        <v>175000000</v>
      </c>
      <c r="G134">
        <v>193214140.56</v>
      </c>
      <c r="H134">
        <v>213324023.49908251</v>
      </c>
      <c r="I134">
        <v>235526959.20672262</v>
      </c>
      <c r="J134">
        <v>260040794.29621199</v>
      </c>
      <c r="K134">
        <v>287106049.03132766</v>
      </c>
      <c r="L134">
        <v>316988277.21808684</v>
      </c>
      <c r="M134" t="s">
        <v>564</v>
      </c>
      <c r="N134" s="163" t="str">
        <f>IF(C134="",IF(B133="","","} ")&amp;IF(B141="","","public class "&amp;B134&amp;" {"),"public ParameterTimeSeries&lt;"&amp;M134&amp;"&gt; "&amp;A134&amp;" { get; } = new ParameterTimeSeries&lt;"&amp;M134&amp;"&gt; { "&amp;_xlfn.TEXTJOIN("f, ",TRUE,F134:L134)&amp;"f };")</f>
        <v>public ParameterTimeSeries&lt;LiterPerYear&gt; RenewableDiesel_Supply_cap_liter_per_year { get; } = new ParameterTimeSeries&lt;LiterPerYear&gt; { 175000000f, 193214140.56f, 213324023.499083f, 235526959.206723f, 260040794.296212f, 287106049.031328f, 316988277.218087f };</v>
      </c>
    </row>
    <row r="135" spans="1:14" x14ac:dyDescent="0.35">
      <c r="A135" t="str">
        <v>RenewableDiesel_Blend_guess_ratio</v>
      </c>
      <c r="B135" t="str">
        <v>World</v>
      </c>
      <c r="C135" t="str">
        <v>RenewableDiesel</v>
      </c>
      <c r="D135" t="str">
        <v>Blend guess</v>
      </c>
      <c r="E135" t="str">
        <v>ratio</v>
      </c>
      <c r="F135">
        <v>0.05</v>
      </c>
      <c r="G135">
        <v>0.06</v>
      </c>
      <c r="H135">
        <v>0.08</v>
      </c>
      <c r="I135">
        <v>0.28812153750000002</v>
      </c>
      <c r="J135">
        <v>0.44916201590069138</v>
      </c>
      <c r="K135">
        <v>0.57377206825302696</v>
      </c>
      <c r="L135">
        <v>0.67019295138414114</v>
      </c>
      <c r="M135" t="s">
        <v>354</v>
      </c>
      <c r="N135" s="163" t="str">
        <f>IF(C135="",IF(B133="","","} ")&amp;IF(B141="","","public class "&amp;B135&amp;" {"),"public ParameterTimeSeries&lt;"&amp;M135&amp;"&gt; "&amp;A135&amp;" { get; } = new ParameterTimeSeries&lt;"&amp;M135&amp;"&gt; { "&amp;_xlfn.TEXTJOIN("f, ",TRUE,F135:L135)&amp;"f };")</f>
        <v>public ParameterTimeSeries&lt;Dimensionless&gt; RenewableDiesel_Blend_guess_ratio { get; } = new ParameterTimeSeries&lt;Dimensionless&gt; { 0.05f, 0.06f, 0.08f, 0.2881215375f, 0.449162015900691f, 0.573772068253027f, 0.670192951384141f };</v>
      </c>
    </row>
    <row r="136" spans="1:14" x14ac:dyDescent="0.35">
      <c r="A136" t="str">
        <v>FossilDiesel_Emissions_kg_CO2_per_liter</v>
      </c>
      <c r="B136" t="str">
        <v>World</v>
      </c>
      <c r="C136" t="str">
        <v>FossilDiesel</v>
      </c>
      <c r="D136" t="str">
        <v>Emissions</v>
      </c>
      <c r="E136" t="str">
        <v>kg CO₂ per liter</v>
      </c>
      <c r="F136">
        <v>3.23</v>
      </c>
      <c r="G136">
        <v>3.23</v>
      </c>
      <c r="H136">
        <v>3.23</v>
      </c>
      <c r="I136">
        <v>3.23</v>
      </c>
      <c r="J136">
        <v>3.23</v>
      </c>
      <c r="K136">
        <v>3.23</v>
      </c>
      <c r="L136">
        <v>3.23</v>
      </c>
      <c r="M136" t="s">
        <v>360</v>
      </c>
      <c r="N136" s="163" t="str">
        <f>IF(C136="",IF(B135="","","} ")&amp;IF(B142="","","public class "&amp;B136&amp;" {"),"public ParameterTimeSeries&lt;"&amp;M136&amp;"&gt; "&amp;A136&amp;" { get; } = new ParameterTimeSeries&lt;"&amp;M136&amp;"&gt; { "&amp;_xlfn.TEXTJOIN("f, ",TRUE,F136:L136)&amp;"f };")</f>
        <v>public ParameterTimeSeries&lt;KilogramPerLiter&gt; FossilDiesel_Emissions_kg_CO2_per_liter { get; } = new ParameterTimeSeries&lt;KilogramPerLiter&gt; { 3.23f, 3.23f, 3.23f, 3.23f, 3.23f, 3.23f, 3.23f };</v>
      </c>
    </row>
    <row r="137" spans="1:14" x14ac:dyDescent="0.35">
      <c r="A137" t="str">
        <v>RenewableDiesel_Emissions_kg_CO2_per_liter</v>
      </c>
      <c r="B137" t="str">
        <v>World</v>
      </c>
      <c r="C137" t="str">
        <v>RenewableDiesel</v>
      </c>
      <c r="D137" t="str">
        <v>Emissions</v>
      </c>
      <c r="E137" t="str">
        <v>kg CO₂ per liter</v>
      </c>
      <c r="F137">
        <v>0.67</v>
      </c>
      <c r="G137">
        <v>0.51843322812500003</v>
      </c>
      <c r="H137">
        <v>0.40115374928971387</v>
      </c>
      <c r="I137">
        <v>0.31040512420703475</v>
      </c>
      <c r="J137">
        <v>0.24018556801372326</v>
      </c>
      <c r="K137">
        <v>0.18585101399162879</v>
      </c>
      <c r="L137">
        <v>0.14380797184176813</v>
      </c>
      <c r="M137" t="s">
        <v>360</v>
      </c>
      <c r="N137" s="163" t="str">
        <f>IF(C137="",IF(B136="","","} ")&amp;IF(B143="","","public class "&amp;B137&amp;" {"),"public ParameterTimeSeries&lt;"&amp;M137&amp;"&gt; "&amp;A137&amp;" { get; } = new ParameterTimeSeries&lt;"&amp;M137&amp;"&gt; { "&amp;_xlfn.TEXTJOIN("f, ",TRUE,F137:L137)&amp;"f };")</f>
        <v>public ParameterTimeSeries&lt;KilogramPerLiter&gt; RenewableDiesel_Emissions_kg_CO2_per_liter { get; } = new ParameterTimeSeries&lt;KilogramPerLiter&gt; { 0.67f, 0.518433228125f, 0.401153749289714f, 0.310405124207035f, 0.240185568013723f, 0.185851013991629f, 0.143807971841768f };</v>
      </c>
    </row>
    <row r="138" spans="1:14" x14ac:dyDescent="0.35">
      <c r="A138" t="str">
        <v>Diesel_Price_euro_per_liter</v>
      </c>
      <c r="B138" t="str">
        <v>World</v>
      </c>
      <c r="C138" t="str">
        <v>Diesel</v>
      </c>
      <c r="D138" t="str">
        <v>Price</v>
      </c>
      <c r="E138" t="str">
        <v>euro per liter</v>
      </c>
      <c r="F138">
        <v>0.64500000000000002</v>
      </c>
      <c r="G138">
        <v>0.68866196453586115</v>
      </c>
      <c r="H138">
        <v>0.74930874747062581</v>
      </c>
      <c r="I138">
        <v>0.99775260358836437</v>
      </c>
      <c r="J138">
        <v>1.2253046691814418</v>
      </c>
      <c r="K138">
        <v>1.4371415874805415</v>
      </c>
      <c r="L138">
        <v>1.6376038650847007</v>
      </c>
      <c r="M138" t="s">
        <v>359</v>
      </c>
      <c r="N138" s="163" t="str">
        <f>IF(C138="",IF(B131="","","} ")&amp;IF(B139="","","public class "&amp;B138&amp;" {"),"public ParameterTimeSeries&lt;"&amp;M138&amp;"&gt; "&amp;A138&amp;" { get; } = new ParameterTimeSeries&lt;"&amp;M138&amp;"&gt; { "&amp;_xlfn.TEXTJOIN("f, ",TRUE,F138:L138)&amp;"f };")</f>
        <v>public ParameterTimeSeries&lt;EuroPerLiter&gt; Diesel_Price_euro_per_liter { get; } = new ParameterTimeSeries&lt;EuroPerLiter&gt; { 0.645f, 0.688661964535861f, 0.749308747470626f, 0.997752603588364f, 1.22530466918144f, 1.43714158748054f, 1.6376038650847f };</v>
      </c>
    </row>
    <row r="139" spans="1:14" x14ac:dyDescent="0.35">
      <c r="A139" t="str">
        <v>Diesel_Emissions_kg_CO2_per_liter</v>
      </c>
      <c r="B139" t="str">
        <v>World</v>
      </c>
      <c r="C139" t="str">
        <v>Diesel</v>
      </c>
      <c r="D139" t="str">
        <v>Emissions</v>
      </c>
      <c r="E139" t="str">
        <v>kg CO₂ per liter</v>
      </c>
      <c r="F139">
        <v>3.1019999999999999</v>
      </c>
      <c r="G139">
        <v>3.0673059936875</v>
      </c>
      <c r="H139">
        <v>3.003692299943177</v>
      </c>
      <c r="I139">
        <v>2.3888018355094096</v>
      </c>
      <c r="J139">
        <v>1.8870889225600636</v>
      </c>
      <c r="K139">
        <v>1.4833523402276221</v>
      </c>
      <c r="L139">
        <v>1.161655856110426</v>
      </c>
      <c r="M139" t="s">
        <v>360</v>
      </c>
      <c r="N139" s="163" t="str">
        <f t="shared" si="2"/>
        <v>public ParameterTimeSeries&lt;KilogramPerLiter&gt; Diesel_Emissions_kg_CO2_per_liter { get; } = new ParameterTimeSeries&lt;KilogramPerLiter&gt; { 3.102f, 3.0673059936875f, 3.00369229994318f, 2.38880183550941f, 1.88708892256006f, 1.48335234022762f, 1.16165585611043f };</v>
      </c>
    </row>
    <row r="140" spans="1:14" x14ac:dyDescent="0.35">
      <c r="A140" t="str">
        <v>Diesel_CO2_tax_euro_per_liter</v>
      </c>
      <c r="B140" t="str">
        <v>World</v>
      </c>
      <c r="C140" t="str">
        <v>Diesel</v>
      </c>
      <c r="D140" t="str">
        <v>CO₂ tax</v>
      </c>
      <c r="E140" t="str">
        <v>euro per liter</v>
      </c>
      <c r="F140">
        <v>0.17371199999999998</v>
      </c>
      <c r="G140">
        <v>0.37957911671882816</v>
      </c>
      <c r="H140">
        <v>0.6007384599886354</v>
      </c>
      <c r="I140">
        <v>0.78681160457091182</v>
      </c>
      <c r="J140">
        <v>0.89164951590963026</v>
      </c>
      <c r="K140">
        <v>0.93358487913076005</v>
      </c>
      <c r="L140">
        <v>0.92932468488834097</v>
      </c>
      <c r="M140" t="s">
        <v>359</v>
      </c>
      <c r="N140" s="163" t="str">
        <f>IF(C140="",IF(B139="","","} ")&amp;IF(B142="","","public class "&amp;B140&amp;" {"),"public ParameterTimeSeries&lt;"&amp;M140&amp;"&gt; "&amp;A140&amp;" { get; } = new ParameterTimeSeries&lt;"&amp;M140&amp;"&gt; { "&amp;_xlfn.TEXTJOIN("f, ",TRUE,F140:L140)&amp;"f };")</f>
        <v>public ParameterTimeSeries&lt;EuroPerLiter&gt; Diesel_CO2_tax_euro_per_liter { get; } = new ParameterTimeSeries&lt;EuroPerLiter&gt; { 0.173712f, 0.379579116718828f, 0.600738459988635f, 0.786811604570912f, 0.89164951590963f, 0.93358487913076f, 0.929324684888341f };</v>
      </c>
    </row>
    <row r="141" spans="1:14" x14ac:dyDescent="0.35">
      <c r="A141" t="str">
        <v>Diesel_Pollution_tax_euro_per_liter</v>
      </c>
      <c r="B141" t="str">
        <v>World</v>
      </c>
      <c r="C141" t="str">
        <v>Diesel</v>
      </c>
      <c r="D141" t="str">
        <v>Pollution tax</v>
      </c>
      <c r="E141" t="str">
        <v>euro per liter</v>
      </c>
      <c r="F141">
        <v>0.02</v>
      </c>
      <c r="G141">
        <v>3.2210200000000008E-2</v>
      </c>
      <c r="H141">
        <v>5.1874849202000035E-2</v>
      </c>
      <c r="I141">
        <v>8.3544963388313104E-2</v>
      </c>
      <c r="J141">
        <v>0.13454999898651218</v>
      </c>
      <c r="K141">
        <v>0.21669411886776782</v>
      </c>
      <c r="L141">
        <v>0.34898804537772893</v>
      </c>
      <c r="M141" t="s">
        <v>359</v>
      </c>
      <c r="N141" s="163" t="str">
        <f>IF(C141="",IF(B140="","","} ")&amp;IF(B143="","","public class "&amp;B141&amp;" {"),"public ParameterTimeSeries&lt;"&amp;M141&amp;"&gt; "&amp;A141&amp;" { get; } = new ParameterTimeSeries&lt;"&amp;M141&amp;"&gt; { "&amp;_xlfn.TEXTJOIN("f, ",TRUE,F141:L141)&amp;"f };")</f>
        <v>public ParameterTimeSeries&lt;EuroPerLiter&gt; Diesel_Pollution_tax_euro_per_liter { get; } = new ParameterTimeSeries&lt;EuroPerLiter&gt; { 0.02f, 0.0322102f, 0.051874849202f, 0.0835449633883131f, 0.134549998986512f, 0.216694118867768f, 0.348988045377729f };</v>
      </c>
    </row>
    <row r="142" spans="1:14" x14ac:dyDescent="0.35">
      <c r="A142" t="str">
        <v>Diesel_Road_tax_euro_per_liter</v>
      </c>
      <c r="B142" t="str">
        <v>World</v>
      </c>
      <c r="C142" t="str">
        <v>Diesel</v>
      </c>
      <c r="D142" t="str">
        <v>Road tax</v>
      </c>
      <c r="E142" t="str">
        <v>euro per liter</v>
      </c>
      <c r="F142">
        <v>0.4</v>
      </c>
      <c r="G142">
        <v>0.4</v>
      </c>
      <c r="H142">
        <v>0.4</v>
      </c>
      <c r="I142">
        <v>0.4</v>
      </c>
      <c r="J142">
        <v>0.4</v>
      </c>
      <c r="K142">
        <v>0.4</v>
      </c>
      <c r="L142">
        <v>0.4</v>
      </c>
      <c r="M142" t="s">
        <v>359</v>
      </c>
      <c r="N142" s="163" t="str">
        <f>IF(C142="",IF(B140="","","} ")&amp;IF(B143="","","public class "&amp;B142&amp;" {"),"public ParameterTimeSeries&lt;"&amp;M142&amp;"&gt; "&amp;A142&amp;" { get; } = new ParameterTimeSeries&lt;"&amp;M142&amp;"&gt; { "&amp;_xlfn.TEXTJOIN("f, ",TRUE,F142:L142)&amp;"f };")</f>
        <v>public ParameterTimeSeries&lt;EuroPerLiter&gt; Diesel_Road_tax_euro_per_liter { get; } = new ParameterTimeSeries&lt;EuroPerLiter&gt; { 0.4f, 0.4f, 0.4f, 0.4f, 0.4f, 0.4f, 0.4f };</v>
      </c>
    </row>
    <row r="143" spans="1:14" x14ac:dyDescent="0.35">
      <c r="A143" t="str">
        <v>Electricity_Conversion_ratio_kWh_per_liter</v>
      </c>
      <c r="B143" t="str">
        <v>World</v>
      </c>
      <c r="C143" t="str">
        <v>Electricity</v>
      </c>
      <c r="D143" t="str">
        <v>Conversion ratio</v>
      </c>
      <c r="E143" t="str">
        <v>kWh per liter</v>
      </c>
      <c r="F143">
        <v>4.163731764705882</v>
      </c>
      <c r="G143">
        <v>4.163731764705882</v>
      </c>
      <c r="H143">
        <v>4.163731764705882</v>
      </c>
      <c r="I143">
        <v>4.163731764705882</v>
      </c>
      <c r="J143">
        <v>4.163731764705882</v>
      </c>
      <c r="K143">
        <v>4.163731764705882</v>
      </c>
      <c r="L143">
        <v>4.163731764705882</v>
      </c>
      <c r="M143" t="s">
        <v>361</v>
      </c>
      <c r="N143" s="163" t="str">
        <f t="shared" si="2"/>
        <v>public ParameterTimeSeries&lt;KiloWattHoursPerLiter&gt; Electricity_Conversion_ratio_kWh_per_liter { get; } = new ParameterTimeSeries&lt;KiloWattHoursPerLiter&gt; { 4.16373176470588f, 4.16373176470588f, 4.16373176470588f, 4.16373176470588f, 4.16373176470588f, 4.16373176470588f, 4.16373176470588f };</v>
      </c>
    </row>
    <row r="144" spans="1:14" x14ac:dyDescent="0.35">
      <c r="A144" t="str">
        <v>Electricity_Road_tax_euro_per_kWh</v>
      </c>
      <c r="B144" t="str">
        <v>World</v>
      </c>
      <c r="C144" t="str">
        <v>Electricity</v>
      </c>
      <c r="D144" t="str">
        <v>Road tax</v>
      </c>
      <c r="E144" t="str">
        <v>euro per kWh</v>
      </c>
      <c r="F144">
        <v>9.6067667804785997E-2</v>
      </c>
      <c r="G144">
        <v>9.6067667804785997E-2</v>
      </c>
      <c r="H144">
        <v>9.6067667804785997E-2</v>
      </c>
      <c r="I144">
        <v>9.6067667804785997E-2</v>
      </c>
      <c r="J144">
        <v>9.6067667804785997E-2</v>
      </c>
      <c r="K144">
        <v>9.6067667804785997E-2</v>
      </c>
      <c r="L144">
        <v>9.6067667804785997E-2</v>
      </c>
      <c r="M144" t="s">
        <v>365</v>
      </c>
      <c r="N144" s="163" t="str">
        <f>IF(C144="",IF(B143="","","} ")&amp;IF(B145="","","public class "&amp;B144&amp;" {"),"public ParameterTimeSeries&lt;"&amp;M144&amp;"&gt; "&amp;A144&amp;" { get; } = new ParameterTimeSeries&lt;"&amp;M144&amp;"&gt; { "&amp;_xlfn.TEXTJOIN("f, ",TRUE,F144:L144)&amp;"f };")</f>
        <v>public ParameterTimeSeries&lt;EuroPerKiloWattHour&gt; Electricity_Road_tax_euro_per_kWh { get; } = new ParameterTimeSeries&lt;EuroPerKiloWattHour&gt; { 0.096067667804786f, 0.096067667804786f, 0.096067667804786f, 0.096067667804786f, 0.096067667804786f, 0.096067667804786f, 0.096067667804786f };</v>
      </c>
    </row>
    <row r="145" spans="1:14" x14ac:dyDescent="0.35">
      <c r="A145" t="str">
        <v>SE12_Price_min_euro_per_kWh</v>
      </c>
      <c r="B145" t="str">
        <v>SE12</v>
      </c>
      <c r="C145" t="str">
        <v>SE12</v>
      </c>
      <c r="D145" t="str">
        <v>Price min</v>
      </c>
      <c r="E145" t="str">
        <v>euro per kWh</v>
      </c>
      <c r="F145">
        <v>7.1295287671232874E-2</v>
      </c>
      <c r="G145">
        <v>7.1295287671232874E-2</v>
      </c>
      <c r="H145">
        <v>7.1295287671232874E-2</v>
      </c>
      <c r="I145">
        <v>7.1295287671232874E-2</v>
      </c>
      <c r="J145">
        <v>7.1295287671232874E-2</v>
      </c>
      <c r="K145">
        <v>7.1295287671232874E-2</v>
      </c>
      <c r="L145">
        <v>7.1295287671232874E-2</v>
      </c>
      <c r="M145" t="s">
        <v>365</v>
      </c>
      <c r="N145" s="163" t="str">
        <f>IF(C145="",IF(B144="","","} ")&amp;IF(B146="","","public class "&amp;B145&amp;" {"),"public ParameterTimeSeries&lt;"&amp;M145&amp;"&gt; "&amp;A145&amp;" { get; } = new ParameterTimeSeries&lt;"&amp;M145&amp;"&gt; { "&amp;_xlfn.TEXTJOIN("f, ",TRUE,F145:L145)&amp;"f };")</f>
        <v>public ParameterTimeSeries&lt;EuroPerKiloWattHour&gt; SE12_Price_min_euro_per_kWh { get; } = new ParameterTimeSeries&lt;EuroPerKiloWattHour&gt; { 0.0712952876712329f, 0.0712952876712329f, 0.0712952876712329f, 0.0712952876712329f, 0.0712952876712329f, 0.0712952876712329f, 0.0712952876712329f };</v>
      </c>
    </row>
    <row r="146" spans="1:14" x14ac:dyDescent="0.35">
      <c r="A146" t="str">
        <v>SE12_Price_max_euro_per_kWh</v>
      </c>
      <c r="B146" t="str">
        <v>SE12</v>
      </c>
      <c r="C146" t="str">
        <v>SE12</v>
      </c>
      <c r="D146" t="str">
        <v>Price max</v>
      </c>
      <c r="E146" t="str">
        <v>euro per kWh</v>
      </c>
      <c r="F146">
        <v>0.12525539726027404</v>
      </c>
      <c r="G146">
        <v>0.12525539726027404</v>
      </c>
      <c r="H146">
        <v>0.12525539726027404</v>
      </c>
      <c r="I146">
        <v>0.12525539726027404</v>
      </c>
      <c r="J146">
        <v>0.12525539726027404</v>
      </c>
      <c r="K146">
        <v>0.12525539726027404</v>
      </c>
      <c r="L146">
        <v>0.12525539726027404</v>
      </c>
      <c r="M146" t="s">
        <v>365</v>
      </c>
      <c r="N146" s="163" t="str">
        <f t="shared" si="2"/>
        <v>public ParameterTimeSeries&lt;EuroPerKiloWattHour&gt; SE12_Price_max_euro_per_kWh { get; } = new ParameterTimeSeries&lt;EuroPerKiloWattHour&gt; { 0.125255397260274f, 0.125255397260274f, 0.125255397260274f, 0.125255397260274f, 0.125255397260274f, 0.125255397260274f, 0.125255397260274f };</v>
      </c>
    </row>
    <row r="147" spans="1:14" x14ac:dyDescent="0.35">
      <c r="A147" t="str">
        <v>SE12_CO2_emissions_kg_per_kWh</v>
      </c>
      <c r="B147" t="str">
        <v>SE12</v>
      </c>
      <c r="C147" t="str">
        <v>SE12</v>
      </c>
      <c r="D147" t="str">
        <v>CO₂ emissions</v>
      </c>
      <c r="E147" t="str">
        <v>kg per kWh</v>
      </c>
      <c r="F147">
        <v>0.26500000000000001</v>
      </c>
      <c r="G147">
        <v>0.17465660364800004</v>
      </c>
      <c r="H147">
        <v>0.11511294036926258</v>
      </c>
      <c r="I147">
        <v>7.5868812078604353E-2</v>
      </c>
      <c r="J147">
        <v>5.0003732228141126E-2</v>
      </c>
      <c r="K147">
        <v>3.2956536002608186E-2</v>
      </c>
      <c r="L147">
        <v>2.1721043947994647E-2</v>
      </c>
      <c r="M147" t="s">
        <v>362</v>
      </c>
      <c r="N147" s="163" t="str">
        <f t="shared" si="2"/>
        <v>public ParameterTimeSeries&lt;KilogramPerKiloWattHour&gt; SE12_CO2_emissions_kg_per_kWh { get; } = new ParameterTimeSeries&lt;KilogramPerKiloWattHour&gt; { 0.265f, 0.174656603648f, 0.115112940369263f, 0.0758688120786044f, 0.0500037322281411f, 0.0329565360026082f, 0.0217210439479946f };</v>
      </c>
    </row>
    <row r="148" spans="1:14" x14ac:dyDescent="0.35">
      <c r="A148" t="str">
        <v>SE12_CO2_tax_euro_per_kWh</v>
      </c>
      <c r="B148" t="str">
        <v>SE12</v>
      </c>
      <c r="C148" t="str">
        <v>SE12</v>
      </c>
      <c r="D148" t="str">
        <v>CO₂ tax</v>
      </c>
      <c r="E148" t="str">
        <v>euro per kWh</v>
      </c>
      <c r="F148">
        <v>1.4840000000000001E-2</v>
      </c>
      <c r="G148">
        <v>2.1613754701440006E-2</v>
      </c>
      <c r="H148">
        <v>2.3022588073852518E-2</v>
      </c>
      <c r="I148">
        <v>2.4989289978390311E-2</v>
      </c>
      <c r="J148">
        <v>2.362676347779669E-2</v>
      </c>
      <c r="K148">
        <v>2.0742019846641532E-2</v>
      </c>
      <c r="L148">
        <v>1.737683515839572E-2</v>
      </c>
      <c r="M148" t="s">
        <v>365</v>
      </c>
      <c r="N148" s="163" t="str">
        <f t="shared" si="2"/>
        <v>public ParameterTimeSeries&lt;EuroPerKiloWattHour&gt; SE12_CO2_tax_euro_per_kWh { get; } = new ParameterTimeSeries&lt;EuroPerKiloWattHour&gt; { 0.01484f, 0.02161375470144f, 0.0230225880738525f, 0.0249892899783903f, 0.0236267634777967f, 0.0207420198466415f, 0.0173768351583957f };</v>
      </c>
    </row>
    <row r="149" spans="1:14" x14ac:dyDescent="0.35">
      <c r="A149" t="str">
        <v>SE34_Price_min_euro_per_kWh</v>
      </c>
      <c r="B149" t="str">
        <v>SE34</v>
      </c>
      <c r="C149" t="str">
        <v>SE34</v>
      </c>
      <c r="D149" t="str">
        <v>Price min</v>
      </c>
      <c r="E149" t="str">
        <v>euro per kWh</v>
      </c>
      <c r="F149">
        <v>7.1295287671232874E-2</v>
      </c>
      <c r="G149">
        <v>7.1295287671232874E-2</v>
      </c>
      <c r="H149">
        <v>7.1295287671232874E-2</v>
      </c>
      <c r="I149">
        <v>7.1295287671232874E-2</v>
      </c>
      <c r="J149">
        <v>7.1295287671232874E-2</v>
      </c>
      <c r="K149">
        <v>7.1295287671232874E-2</v>
      </c>
      <c r="L149">
        <v>7.1295287671232874E-2</v>
      </c>
      <c r="M149" t="s">
        <v>365</v>
      </c>
      <c r="N149" s="163" t="str">
        <f t="shared" si="2"/>
        <v>public ParameterTimeSeries&lt;EuroPerKiloWattHour&gt; SE34_Price_min_euro_per_kWh { get; } = new ParameterTimeSeries&lt;EuroPerKiloWattHour&gt; { 0.0712952876712329f, 0.0712952876712329f, 0.0712952876712329f, 0.0712952876712329f, 0.0712952876712329f, 0.0712952876712329f, 0.0712952876712329f };</v>
      </c>
    </row>
    <row r="150" spans="1:14" x14ac:dyDescent="0.35">
      <c r="A150" t="str">
        <v>SE34_Price_max_euro_per_kWh</v>
      </c>
      <c r="B150" t="str">
        <v>SE34</v>
      </c>
      <c r="C150" t="str">
        <v>SE34</v>
      </c>
      <c r="D150" t="str">
        <v>Price max</v>
      </c>
      <c r="E150" t="str">
        <v>euro per kWh</v>
      </c>
      <c r="F150">
        <v>0.12525539726027404</v>
      </c>
      <c r="G150">
        <v>0.12525539726027404</v>
      </c>
      <c r="H150">
        <v>0.12525539726027404</v>
      </c>
      <c r="I150">
        <v>0.12525539726027404</v>
      </c>
      <c r="J150">
        <v>0.12525539726027404</v>
      </c>
      <c r="K150">
        <v>0.12525539726027404</v>
      </c>
      <c r="L150">
        <v>0.12525539726027404</v>
      </c>
      <c r="M150" t="s">
        <v>365</v>
      </c>
      <c r="N150" s="163" t="str">
        <f t="shared" si="2"/>
        <v>public ParameterTimeSeries&lt;EuroPerKiloWattHour&gt; SE34_Price_max_euro_per_kWh { get; } = new ParameterTimeSeries&lt;EuroPerKiloWattHour&gt; { 0.125255397260274f, 0.125255397260274f, 0.125255397260274f, 0.125255397260274f, 0.125255397260274f, 0.125255397260274f, 0.125255397260274f };</v>
      </c>
    </row>
    <row r="151" spans="1:14" x14ac:dyDescent="0.35">
      <c r="A151" t="str">
        <v>SE34_CO2_emissions_kg_per_kWh</v>
      </c>
      <c r="B151" t="str">
        <v>SE34</v>
      </c>
      <c r="C151" t="str">
        <v>SE34</v>
      </c>
      <c r="D151" t="str">
        <v>CO₂ emissions</v>
      </c>
      <c r="E151" t="str">
        <v>kg per kWh</v>
      </c>
      <c r="F151">
        <v>0.26500000000000001</v>
      </c>
      <c r="G151">
        <v>0.17465660364800004</v>
      </c>
      <c r="H151">
        <v>0.11511294036926258</v>
      </c>
      <c r="I151">
        <v>7.5868812078604353E-2</v>
      </c>
      <c r="J151">
        <v>5.0003732228141126E-2</v>
      </c>
      <c r="K151">
        <v>3.2956536002608186E-2</v>
      </c>
      <c r="L151">
        <v>2.1721043947994647E-2</v>
      </c>
      <c r="M151" t="s">
        <v>362</v>
      </c>
      <c r="N151" s="163" t="str">
        <f t="shared" si="2"/>
        <v>public ParameterTimeSeries&lt;KilogramPerKiloWattHour&gt; SE34_CO2_emissions_kg_per_kWh { get; } = new ParameterTimeSeries&lt;KilogramPerKiloWattHour&gt; { 0.265f, 0.174656603648f, 0.115112940369263f, 0.0758688120786044f, 0.0500037322281411f, 0.0329565360026082f, 0.0217210439479946f };</v>
      </c>
    </row>
    <row r="152" spans="1:14" x14ac:dyDescent="0.35">
      <c r="A152" t="str">
        <v>SE34_CO2_tax_euro_per_kWh</v>
      </c>
      <c r="B152" t="str">
        <v>SE34</v>
      </c>
      <c r="C152" t="str">
        <v>SE34</v>
      </c>
      <c r="D152" t="str">
        <v>CO₂ tax</v>
      </c>
      <c r="E152" t="str">
        <v>euro per kWh</v>
      </c>
      <c r="F152">
        <v>1.4840000000000001E-2</v>
      </c>
      <c r="G152">
        <v>2.1613754701440006E-2</v>
      </c>
      <c r="H152">
        <v>2.3022588073852518E-2</v>
      </c>
      <c r="I152">
        <v>2.4989289978390311E-2</v>
      </c>
      <c r="J152">
        <v>2.362676347779669E-2</v>
      </c>
      <c r="K152">
        <v>2.0742019846641532E-2</v>
      </c>
      <c r="L152">
        <v>1.737683515839572E-2</v>
      </c>
      <c r="M152" t="s">
        <v>365</v>
      </c>
      <c r="N152" s="163" t="str">
        <f t="shared" si="2"/>
        <v>public ParameterTimeSeries&lt;EuroPerKiloWattHour&gt; SE34_CO2_tax_euro_per_kWh { get; } = new ParameterTimeSeries&lt;EuroPerKiloWattHour&gt; { 0.01484f, 0.02161375470144f, 0.0230225880738525f, 0.0249892899783903f, 0.0236267634777967f, 0.0207420198466415f, 0.0173768351583957f };</v>
      </c>
    </row>
    <row r="153" spans="1:14" x14ac:dyDescent="0.35">
      <c r="A153" t="str">
        <v>OtherRegion_Price_min_euro_per_kWh</v>
      </c>
      <c r="B153" t="str">
        <v>OtherRegion</v>
      </c>
      <c r="C153" t="str">
        <v>OtherRegion</v>
      </c>
      <c r="D153" t="str">
        <v>Price min</v>
      </c>
      <c r="E153" t="str">
        <v>euro per kWh</v>
      </c>
      <c r="F153">
        <v>7.1295287671232874E-2</v>
      </c>
      <c r="G153">
        <v>7.1295287671232874E-2</v>
      </c>
      <c r="H153">
        <v>7.1295287671232874E-2</v>
      </c>
      <c r="I153">
        <v>7.1295287671232874E-2</v>
      </c>
      <c r="J153">
        <v>7.1295287671232874E-2</v>
      </c>
      <c r="K153">
        <v>7.1295287671232874E-2</v>
      </c>
      <c r="L153">
        <v>7.1295287671232874E-2</v>
      </c>
      <c r="M153" t="s">
        <v>365</v>
      </c>
      <c r="N153" s="163" t="str">
        <f t="shared" si="2"/>
        <v>public ParameterTimeSeries&lt;EuroPerKiloWattHour&gt; OtherRegion_Price_min_euro_per_kWh { get; } = new ParameterTimeSeries&lt;EuroPerKiloWattHour&gt; { 0.0712952876712329f, 0.0712952876712329f, 0.0712952876712329f, 0.0712952876712329f, 0.0712952876712329f, 0.0712952876712329f, 0.0712952876712329f };</v>
      </c>
    </row>
    <row r="154" spans="1:14" x14ac:dyDescent="0.35">
      <c r="A154" t="str">
        <v>OtherRegion_Price_max_euro_per_kWh</v>
      </c>
      <c r="B154" t="str">
        <v>OtherRegion</v>
      </c>
      <c r="C154" t="str">
        <v>OtherRegion</v>
      </c>
      <c r="D154" t="str">
        <v>Price max</v>
      </c>
      <c r="E154" t="str">
        <v>euro per kWh</v>
      </c>
      <c r="F154">
        <v>0.12525539726027404</v>
      </c>
      <c r="G154">
        <v>0.12525539726027404</v>
      </c>
      <c r="H154">
        <v>0.12525539726027404</v>
      </c>
      <c r="I154">
        <v>0.12525539726027404</v>
      </c>
      <c r="J154">
        <v>0.12525539726027404</v>
      </c>
      <c r="K154">
        <v>0.12525539726027404</v>
      </c>
      <c r="L154">
        <v>0.12525539726027404</v>
      </c>
      <c r="M154" t="s">
        <v>365</v>
      </c>
      <c r="N154" s="163" t="str">
        <f t="shared" si="2"/>
        <v>public ParameterTimeSeries&lt;EuroPerKiloWattHour&gt; OtherRegion_Price_max_euro_per_kWh { get; } = new ParameterTimeSeries&lt;EuroPerKiloWattHour&gt; { 0.125255397260274f, 0.125255397260274f, 0.125255397260274f, 0.125255397260274f, 0.125255397260274f, 0.125255397260274f, 0.125255397260274f };</v>
      </c>
    </row>
    <row r="155" spans="1:14" x14ac:dyDescent="0.35">
      <c r="A155" t="str">
        <v>OtherRegion_CO2_emissions_kg_per_kWh</v>
      </c>
      <c r="B155" t="str">
        <v>OtherRegion</v>
      </c>
      <c r="C155" t="str">
        <v>OtherRegion</v>
      </c>
      <c r="D155" t="str">
        <v>CO₂ emissions</v>
      </c>
      <c r="E155" t="str">
        <v>kg per kWh</v>
      </c>
      <c r="F155">
        <v>0.26500000000000001</v>
      </c>
      <c r="G155">
        <v>0.17465660364800004</v>
      </c>
      <c r="H155">
        <v>0.11511294036926258</v>
      </c>
      <c r="I155">
        <v>7.5868812078604353E-2</v>
      </c>
      <c r="J155">
        <v>5.0003732228141126E-2</v>
      </c>
      <c r="K155">
        <v>3.2956536002608186E-2</v>
      </c>
      <c r="L155">
        <v>2.1721043947994647E-2</v>
      </c>
      <c r="M155" t="s">
        <v>362</v>
      </c>
      <c r="N155" s="163" t="str">
        <f t="shared" si="2"/>
        <v>public ParameterTimeSeries&lt;KilogramPerKiloWattHour&gt; OtherRegion_CO2_emissions_kg_per_kWh { get; } = new ParameterTimeSeries&lt;KilogramPerKiloWattHour&gt; { 0.265f, 0.174656603648f, 0.115112940369263f, 0.0758688120786044f, 0.0500037322281411f, 0.0329565360026082f, 0.0217210439479946f };</v>
      </c>
    </row>
    <row r="156" spans="1:14" x14ac:dyDescent="0.35">
      <c r="A156" t="str">
        <v>OtherRegion_CO2_tax_euro_per_kWh</v>
      </c>
      <c r="B156" t="str">
        <v>OtherRegion</v>
      </c>
      <c r="C156" t="str">
        <v>OtherRegion</v>
      </c>
      <c r="D156" t="str">
        <v>CO₂ tax</v>
      </c>
      <c r="E156" t="str">
        <v>euro per kWh</v>
      </c>
      <c r="F156">
        <v>1.4840000000000001E-2</v>
      </c>
      <c r="G156">
        <v>2.1613754701440006E-2</v>
      </c>
      <c r="H156">
        <v>2.3022588073852518E-2</v>
      </c>
      <c r="I156">
        <v>2.4989289978390311E-2</v>
      </c>
      <c r="J156">
        <v>2.362676347779669E-2</v>
      </c>
      <c r="K156">
        <v>2.0742019846641532E-2</v>
      </c>
      <c r="L156">
        <v>1.737683515839572E-2</v>
      </c>
      <c r="M156" t="s">
        <v>365</v>
      </c>
      <c r="N156" s="163" t="str">
        <f t="shared" si="2"/>
        <v>public ParameterTimeSeries&lt;EuroPerKiloWattHour&gt; OtherRegion_CO2_tax_euro_per_kWh { get; } = new ParameterTimeSeries&lt;EuroPerKiloWattHour&gt; { 0.01484f, 0.02161375470144f, 0.0230225880738525f, 0.0249892899783903f, 0.0236267634777967f, 0.0207420198466415f, 0.0173768351583957f };</v>
      </c>
    </row>
    <row r="157" spans="1:14" x14ac:dyDescent="0.35">
      <c r="A157" t="str">
        <v>_</v>
      </c>
      <c r="B157" s="4" t="s">
        <v>243</v>
      </c>
      <c r="N157" s="163" t="str">
        <f t="shared" si="2"/>
        <v>} public class InfrastructureInternal {</v>
      </c>
    </row>
    <row r="158" spans="1:14" x14ac:dyDescent="0.35">
      <c r="A158" t="str">
        <v>ERS_base_cost_euro_per_km</v>
      </c>
      <c r="B158" t="str" cm="1">
        <f t="array" ref="B158:L202">infra!A2:K46</f>
        <v>Infrastructure</v>
      </c>
      <c r="C158" t="str">
        <v>ERS</v>
      </c>
      <c r="D158" t="str">
        <v>base cost</v>
      </c>
      <c r="E158" t="str">
        <v>euro per km</v>
      </c>
      <c r="F158">
        <v>1500000</v>
      </c>
      <c r="G158">
        <v>1426485.07485</v>
      </c>
      <c r="H158">
        <v>1356573.1125132064</v>
      </c>
      <c r="I158">
        <v>1290087.5319619325</v>
      </c>
      <c r="J158">
        <v>1226860.406395846</v>
      </c>
      <c r="K158">
        <v>1166732.0390987196</v>
      </c>
      <c r="L158">
        <v>1109550.5600824202</v>
      </c>
      <c r="M158" t="s">
        <v>351</v>
      </c>
      <c r="N158" s="163" t="str">
        <f t="shared" si="2"/>
        <v>public ParameterTimeSeries&lt;EuroPerKilometer&gt; ERS_base_cost_euro_per_km { get; } = new ParameterTimeSeries&lt;EuroPerKilometer&gt; { 1500000f, 1426485.07485f, 1356573.11251321f, 1290087.53196193f, 1226860.40639585f, 1166732.03909872f, 1109550.56008242f };</v>
      </c>
    </row>
    <row r="159" spans="1:14" x14ac:dyDescent="0.35">
      <c r="A159" t="str">
        <v>ERS_power_cost_euro_per_kW_km</v>
      </c>
      <c r="B159" t="str">
        <v>Infrastructure</v>
      </c>
      <c r="C159" t="str">
        <v>ERS</v>
      </c>
      <c r="D159" t="str">
        <v>power cost</v>
      </c>
      <c r="E159" t="str">
        <v>euro per kW-km</v>
      </c>
      <c r="F159">
        <v>700</v>
      </c>
      <c r="G159">
        <v>665.69303492999995</v>
      </c>
      <c r="H159">
        <v>633.06745250616302</v>
      </c>
      <c r="I159">
        <v>602.04084824890185</v>
      </c>
      <c r="J159">
        <v>572.53485631806143</v>
      </c>
      <c r="K159">
        <v>544.4749515794025</v>
      </c>
      <c r="L159">
        <v>517.79026137179608</v>
      </c>
      <c r="M159" t="s">
        <v>363</v>
      </c>
      <c r="N159" s="163" t="str">
        <f t="shared" si="2"/>
        <v>public ParameterTimeSeries&lt;EuroPerKiloWattKilometer&gt; ERS_power_cost_euro_per_kW_km { get; } = new ParameterTimeSeries&lt;EuroPerKiloWattKilometer&gt; { 700f, 665.69303493f, 633.067452506163f, 602.040848248902f, 572.534856318061f, 544.474951579403f, 517.790261371796f };</v>
      </c>
    </row>
    <row r="160" spans="1:14" x14ac:dyDescent="0.35">
      <c r="A160" t="str">
        <v>ERS_maintenance_cost_ratio_per_year</v>
      </c>
      <c r="B160" t="str">
        <v>Infrastructure</v>
      </c>
      <c r="C160" t="str">
        <v>ERS</v>
      </c>
      <c r="D160" t="str">
        <v>maintenance cost</v>
      </c>
      <c r="E160" t="str">
        <v>ratio per year</v>
      </c>
      <c r="F160">
        <v>0.02</v>
      </c>
      <c r="G160">
        <v>0.02</v>
      </c>
      <c r="H160">
        <v>0.02</v>
      </c>
      <c r="I160">
        <v>0.02</v>
      </c>
      <c r="J160">
        <v>0.02</v>
      </c>
      <c r="K160">
        <v>0.02</v>
      </c>
      <c r="L160">
        <v>0.02</v>
      </c>
      <c r="M160" t="s">
        <v>354</v>
      </c>
      <c r="N160" s="163" t="str">
        <f t="shared" si="2"/>
        <v>public ParameterTimeSeries&lt;Dimensionless&gt; ERS_maintenance_cost_ratio_per_year { get; } = new ParameterTimeSeries&lt;Dimensionless&gt; { 0.02f, 0.02f, 0.02f, 0.02f, 0.02f, 0.02f, 0.02f };</v>
      </c>
    </row>
    <row r="161" spans="1:14" x14ac:dyDescent="0.35">
      <c r="A161" t="str">
        <v>ERS_write_off_period_years</v>
      </c>
      <c r="B161" t="str">
        <v>Infrastructure</v>
      </c>
      <c r="C161" t="str">
        <v>ERS</v>
      </c>
      <c r="D161" t="str">
        <v>write off period</v>
      </c>
      <c r="E161" t="str">
        <v>years</v>
      </c>
      <c r="F161">
        <v>25</v>
      </c>
      <c r="G161">
        <v>25</v>
      </c>
      <c r="H161">
        <v>25</v>
      </c>
      <c r="I161">
        <v>25</v>
      </c>
      <c r="J161">
        <v>25</v>
      </c>
      <c r="K161">
        <v>25</v>
      </c>
      <c r="L161">
        <v>25</v>
      </c>
      <c r="M161" t="s">
        <v>350</v>
      </c>
      <c r="N161" s="163" t="str">
        <f t="shared" si="2"/>
        <v>public ParameterTimeSeries&lt;Years&gt; ERS_write_off_period_years { get; } = new ParameterTimeSeries&lt;Years&gt; { 25f, 25f, 25f, 25f, 25f, 25f, 25f };</v>
      </c>
    </row>
    <row r="162" spans="1:14" x14ac:dyDescent="0.35">
      <c r="A162" t="str">
        <v>ERS_profit_margin_ratio</v>
      </c>
      <c r="B162" t="str">
        <v>Infrastructure</v>
      </c>
      <c r="C162" t="str">
        <v>ERS</v>
      </c>
      <c r="D162" t="str">
        <v>profit margin</v>
      </c>
      <c r="E162" t="str">
        <v>ratio</v>
      </c>
      <c r="F162">
        <v>0.1</v>
      </c>
      <c r="G162">
        <v>0.1</v>
      </c>
      <c r="H162">
        <v>0.1</v>
      </c>
      <c r="I162">
        <v>0.1</v>
      </c>
      <c r="J162">
        <v>0.1</v>
      </c>
      <c r="K162">
        <v>0.1</v>
      </c>
      <c r="L162">
        <v>0.1</v>
      </c>
      <c r="M162" t="s">
        <v>354</v>
      </c>
      <c r="N162" s="163" t="str">
        <f t="shared" si="2"/>
        <v>public ParameterTimeSeries&lt;Dimensionless&gt; ERS_profit_margin_ratio { get; } = new ParameterTimeSeries&lt;Dimensionless&gt; { 0.1f, 0.1f, 0.1f, 0.1f, 0.1f, 0.1f, 0.1f };</v>
      </c>
    </row>
    <row r="163" spans="1:14" x14ac:dyDescent="0.35">
      <c r="A163" t="str">
        <v>ERS_pick_up_cost_base_light_euro</v>
      </c>
      <c r="B163" t="str">
        <v>Infrastructure</v>
      </c>
      <c r="C163" t="str">
        <v>ERS</v>
      </c>
      <c r="D163" t="str">
        <v>pick up cost base light</v>
      </c>
      <c r="E163" t="str">
        <v>euro</v>
      </c>
      <c r="F163">
        <v>500</v>
      </c>
      <c r="G163">
        <v>451.96039839999992</v>
      </c>
      <c r="H163">
        <v>408.53640344377328</v>
      </c>
      <c r="I163">
        <v>369.28455132270176</v>
      </c>
      <c r="J163">
        <v>333.80398587754706</v>
      </c>
      <c r="K163">
        <v>301.73236488944821</v>
      </c>
      <c r="L163">
        <v>272.74215969121832</v>
      </c>
      <c r="M163" t="s">
        <v>349</v>
      </c>
      <c r="N163" s="163" t="str">
        <f t="shared" si="2"/>
        <v>public ParameterTimeSeries&lt;Euro&gt; ERS_pick_up_cost_base_light_euro { get; } = new ParameterTimeSeries&lt;Euro&gt; { 500f, 451.9603984f, 408.536403443773f, 369.284551322702f, 333.803985877547f, 301.732364889448f, 272.742159691218f };</v>
      </c>
    </row>
    <row r="164" spans="1:14" x14ac:dyDescent="0.35">
      <c r="A164" t="str">
        <v>ERS_pick_up_cost_base_heavy_euro</v>
      </c>
      <c r="B164" t="str">
        <v>Infrastructure</v>
      </c>
      <c r="C164" t="str">
        <v>ERS</v>
      </c>
      <c r="D164" t="str">
        <v>pick up cost base heavy</v>
      </c>
      <c r="E164" t="str">
        <v>euro</v>
      </c>
      <c r="F164">
        <v>2000</v>
      </c>
      <c r="G164">
        <v>1807.8415935999997</v>
      </c>
      <c r="H164">
        <v>1634.1456137750931</v>
      </c>
      <c r="I164">
        <v>1477.138205290807</v>
      </c>
      <c r="J164">
        <v>1335.2159435101883</v>
      </c>
      <c r="K164">
        <v>1206.9294595577928</v>
      </c>
      <c r="L164">
        <v>1090.9686387648733</v>
      </c>
      <c r="M164" t="s">
        <v>349</v>
      </c>
      <c r="N164" s="163" t="str">
        <f t="shared" si="2"/>
        <v>public ParameterTimeSeries&lt;Euro&gt; ERS_pick_up_cost_base_heavy_euro { get; } = new ParameterTimeSeries&lt;Euro&gt; { 2000f, 1807.8415936f, 1634.14561377509f, 1477.13820529081f, 1335.21594351019f, 1206.92945955779f, 1090.96863876487f };</v>
      </c>
    </row>
    <row r="165" spans="1:14" x14ac:dyDescent="0.35">
      <c r="A165" t="str">
        <v>ERS_pick_up_cost_euro_per_kW</v>
      </c>
      <c r="B165" t="str">
        <v>Infrastructure</v>
      </c>
      <c r="C165" t="str">
        <v>ERS</v>
      </c>
      <c r="D165" t="str">
        <v>pick-up cost</v>
      </c>
      <c r="E165" t="str">
        <v>euro per kW</v>
      </c>
      <c r="F165">
        <v>50</v>
      </c>
      <c r="G165">
        <v>45.19603983999999</v>
      </c>
      <c r="H165">
        <v>40.853640344377325</v>
      </c>
      <c r="I165">
        <v>36.92845513227018</v>
      </c>
      <c r="J165">
        <v>33.380398587754705</v>
      </c>
      <c r="K165">
        <v>30.17323648894482</v>
      </c>
      <c r="L165">
        <v>27.274215969121833</v>
      </c>
      <c r="M165" t="s">
        <v>364</v>
      </c>
      <c r="N165" s="163" t="str">
        <f t="shared" si="2"/>
        <v>public ParameterTimeSeries&lt;EuroPerKiloWatt&gt; ERS_pick_up_cost_euro_per_kW { get; } = new ParameterTimeSeries&lt;EuroPerKiloWatt&gt; { 50f, 45.19603984f, 40.8536403443773f, 36.9284551322702f, 33.3803985877547f, 30.1732364889448f, 27.2742159691218f };</v>
      </c>
    </row>
    <row r="166" spans="1:14" x14ac:dyDescent="0.35">
      <c r="A166" t="str">
        <v>ERS_pick_up_lifespan_years</v>
      </c>
      <c r="B166" t="str">
        <v>Infrastructure</v>
      </c>
      <c r="C166" t="str">
        <v>ERS</v>
      </c>
      <c r="D166" t="str">
        <v>pick-up lifespan</v>
      </c>
      <c r="E166" t="str">
        <v>years</v>
      </c>
      <c r="F166">
        <v>10</v>
      </c>
      <c r="G166">
        <v>10</v>
      </c>
      <c r="H166">
        <v>10</v>
      </c>
      <c r="I166">
        <v>10</v>
      </c>
      <c r="J166">
        <v>10</v>
      </c>
      <c r="K166">
        <v>10</v>
      </c>
      <c r="L166">
        <v>10</v>
      </c>
      <c r="M166" t="s">
        <v>350</v>
      </c>
      <c r="N166" s="163" t="str">
        <f t="shared" si="2"/>
        <v>public ParameterTimeSeries&lt;Years&gt; ERS_pick_up_lifespan_years { get; } = new ParameterTimeSeries&lt;Years&gt; { 10f, 10f, 10f, 10f, 10f, 10f, 10f };</v>
      </c>
    </row>
    <row r="167" spans="1:14" x14ac:dyDescent="0.35">
      <c r="A167" t="str">
        <v>ERS_pick_up_weight_light_kg</v>
      </c>
      <c r="B167" t="str">
        <v>Infrastructure</v>
      </c>
      <c r="C167" t="str">
        <v>ERS</v>
      </c>
      <c r="D167" t="str">
        <v>pick up weight light</v>
      </c>
      <c r="E167" t="str">
        <v>kg</v>
      </c>
      <c r="F167">
        <v>50</v>
      </c>
      <c r="G167">
        <v>47.549502494999999</v>
      </c>
      <c r="H167">
        <v>45.219103750440212</v>
      </c>
      <c r="I167">
        <v>43.002917732064418</v>
      </c>
      <c r="J167">
        <v>40.895346879861535</v>
      </c>
      <c r="K167">
        <v>38.891067969957319</v>
      </c>
      <c r="L167">
        <v>36.985018669414004</v>
      </c>
      <c r="M167" t="s">
        <v>347</v>
      </c>
      <c r="N167" s="163" t="str">
        <f t="shared" si="2"/>
        <v>public ParameterTimeSeries&lt;Kilogram&gt; ERS_pick_up_weight_light_kg { get; } = new ParameterTimeSeries&lt;Kilogram&gt; { 50f, 47.549502495f, 45.2191037504402f, 43.0029177320644f, 40.8953468798615f, 38.8910679699573f, 36.985018669414f };</v>
      </c>
    </row>
    <row r="168" spans="1:14" x14ac:dyDescent="0.35">
      <c r="A168" t="str">
        <v>ERS_pick_up_weight_heavy_kg</v>
      </c>
      <c r="B168" t="str">
        <v>Infrastructure</v>
      </c>
      <c r="C168" t="str">
        <v>ERS</v>
      </c>
      <c r="D168" t="str">
        <v>pick up weight heavy</v>
      </c>
      <c r="E168" t="str">
        <v>kg</v>
      </c>
      <c r="F168">
        <v>300</v>
      </c>
      <c r="G168">
        <v>285.29701496999996</v>
      </c>
      <c r="H168">
        <v>271.31462250264127</v>
      </c>
      <c r="I168">
        <v>258.01750639238651</v>
      </c>
      <c r="J168">
        <v>245.37208127916921</v>
      </c>
      <c r="K168">
        <v>233.34640781974392</v>
      </c>
      <c r="L168">
        <v>221.91011201648402</v>
      </c>
      <c r="M168" t="s">
        <v>347</v>
      </c>
      <c r="N168" s="163" t="str">
        <f t="shared" si="2"/>
        <v>public ParameterTimeSeries&lt;Kilogram&gt; ERS_pick_up_weight_heavy_kg { get; } = new ParameterTimeSeries&lt;Kilogram&gt; { 300f, 285.29701497f, 271.314622502641f, 258.017506392387f, 245.372081279169f, 233.346407819744f, 221.910112016484f };</v>
      </c>
    </row>
    <row r="169" spans="1:14" x14ac:dyDescent="0.35">
      <c r="A169" t="str">
        <v>ERS_standardization_risk_ratio</v>
      </c>
      <c r="B169" t="str">
        <v>Infrastructure</v>
      </c>
      <c r="C169" t="str">
        <v>ERS</v>
      </c>
      <c r="D169" t="str">
        <v>standardization risk</v>
      </c>
      <c r="E169" t="str">
        <v>ratio</v>
      </c>
      <c r="F169">
        <v>0.5</v>
      </c>
      <c r="G169">
        <v>0.1638400000000001</v>
      </c>
      <c r="H169">
        <v>5.3687091200000057E-2</v>
      </c>
      <c r="I169">
        <v>1.7592186044416029E-2</v>
      </c>
      <c r="J169">
        <v>5.7646075230342476E-3</v>
      </c>
      <c r="K169">
        <v>1.8889465931478629E-3</v>
      </c>
      <c r="L169">
        <v>6.1897001964269203E-4</v>
      </c>
      <c r="M169" t="s">
        <v>354</v>
      </c>
      <c r="N169" s="163" t="str">
        <f t="shared" si="2"/>
        <v>public ParameterTimeSeries&lt;Dimensionless&gt; ERS_standardization_risk_ratio { get; } = new ParameterTimeSeries&lt;Dimensionless&gt; { 0.5f, 0.16384f, 0.0536870912000001f, 0.017592186044416f, 0.00576460752303425f, 0.00188894659314786f, 0.000618970019642692f };</v>
      </c>
    </row>
    <row r="170" spans="1:14" x14ac:dyDescent="0.35">
      <c r="A170" t="str">
        <v>ERS_cost_of_standard_change_ratio</v>
      </c>
      <c r="B170" t="str">
        <v>Infrastructure</v>
      </c>
      <c r="C170" t="str">
        <v>ERS</v>
      </c>
      <c r="D170" t="str">
        <v>cost of standard change</v>
      </c>
      <c r="E170" t="str">
        <v>ratio</v>
      </c>
      <c r="F170">
        <v>0.3</v>
      </c>
      <c r="G170">
        <v>0.3</v>
      </c>
      <c r="H170">
        <v>0.3</v>
      </c>
      <c r="I170">
        <v>0.3</v>
      </c>
      <c r="J170">
        <v>0.3</v>
      </c>
      <c r="K170">
        <v>0.3</v>
      </c>
      <c r="L170">
        <v>0.3</v>
      </c>
      <c r="M170" t="s">
        <v>354</v>
      </c>
      <c r="N170" s="163" t="str">
        <f t="shared" si="2"/>
        <v>public ParameterTimeSeries&lt;Dimensionless&gt; ERS_cost_of_standard_change_ratio { get; } = new ParameterTimeSeries&lt;Dimensionless&gt; { 0.3f, 0.3f, 0.3f, 0.3f, 0.3f, 0.3f, 0.3f };</v>
      </c>
    </row>
    <row r="171" spans="1:14" x14ac:dyDescent="0.35">
      <c r="A171" t="str">
        <v>ERS_utilization_ratio</v>
      </c>
      <c r="B171" t="str">
        <v>Infrastructure</v>
      </c>
      <c r="C171" t="str">
        <v>ERS</v>
      </c>
      <c r="D171" t="str">
        <v>utilization</v>
      </c>
      <c r="E171" t="str">
        <v>ratio</v>
      </c>
      <c r="F171">
        <v>0.2653154761904763</v>
      </c>
      <c r="G171">
        <v>0.2653154761904763</v>
      </c>
      <c r="H171">
        <v>0.2653154761904763</v>
      </c>
      <c r="I171">
        <v>0.2653154761904763</v>
      </c>
      <c r="J171">
        <v>0.2653154761904763</v>
      </c>
      <c r="K171">
        <v>0.2653154761904763</v>
      </c>
      <c r="L171">
        <v>0.2653154761904763</v>
      </c>
      <c r="M171" t="s">
        <v>354</v>
      </c>
      <c r="N171" s="163" t="str">
        <f t="shared" si="2"/>
        <v>public ParameterTimeSeries&lt;Dimensionless&gt; ERS_utilization_ratio { get; } = new ParameterTimeSeries&lt;Dimensionless&gt; { 0.265315476190476f, 0.265315476190476f, 0.265315476190476f, 0.265315476190476f, 0.265315476190476f, 0.265315476190476f, 0.265315476190476f };</v>
      </c>
    </row>
    <row r="172" spans="1:14" x14ac:dyDescent="0.35">
      <c r="A172" t="str">
        <v>ERS_electricity_price_ratio</v>
      </c>
      <c r="B172" t="str">
        <v>Infrastructure</v>
      </c>
      <c r="C172" t="str">
        <v>ERS</v>
      </c>
      <c r="D172" t="str">
        <v>electricity price</v>
      </c>
      <c r="E172" t="str">
        <v>ratio</v>
      </c>
      <c r="F172">
        <v>0.72604475975560701</v>
      </c>
      <c r="G172">
        <v>0.72604475975560701</v>
      </c>
      <c r="H172">
        <v>0.72604475975560701</v>
      </c>
      <c r="I172">
        <v>0.72604475975560701</v>
      </c>
      <c r="J172">
        <v>0.72604475975560701</v>
      </c>
      <c r="K172">
        <v>0.72604475975560701</v>
      </c>
      <c r="L172">
        <v>0.72604475975560701</v>
      </c>
      <c r="M172" t="s">
        <v>354</v>
      </c>
      <c r="N172" s="163" t="str">
        <f t="shared" si="2"/>
        <v>public ParameterTimeSeries&lt;Dimensionless&gt; ERS_electricity_price_ratio { get; } = new ParameterTimeSeries&lt;Dimensionless&gt; { 0.726044759755607f, 0.726044759755607f, 0.726044759755607f, 0.726044759755607f, 0.726044759755607f, 0.726044759755607f, 0.726044759755607f };</v>
      </c>
    </row>
    <row r="173" spans="1:14" x14ac:dyDescent="0.35">
      <c r="A173" t="str">
        <v>ERS_grid_connection_cable_euro</v>
      </c>
      <c r="B173" t="str">
        <v>Infrastructure</v>
      </c>
      <c r="C173" t="str">
        <v>ERS</v>
      </c>
      <c r="D173" t="str">
        <v>grid connection cable</v>
      </c>
      <c r="E173" t="str">
        <v>euro</v>
      </c>
      <c r="F173">
        <v>10000</v>
      </c>
      <c r="G173">
        <v>10000</v>
      </c>
      <c r="H173">
        <v>10000</v>
      </c>
      <c r="I173">
        <v>10000</v>
      </c>
      <c r="J173">
        <v>10000</v>
      </c>
      <c r="K173">
        <v>10000</v>
      </c>
      <c r="L173">
        <v>10000</v>
      </c>
      <c r="M173" t="s">
        <v>349</v>
      </c>
      <c r="N173" s="163" t="str">
        <f t="shared" si="2"/>
        <v>public ParameterTimeSeries&lt;Euro&gt; ERS_grid_connection_cable_euro { get; } = new ParameterTimeSeries&lt;Euro&gt; { 10000f, 10000f, 10000f, 10000f, 10000f, 10000f, 10000f };</v>
      </c>
    </row>
    <row r="174" spans="1:14" x14ac:dyDescent="0.35">
      <c r="A174" t="str">
        <v>ERS_grid_connection_interval_km</v>
      </c>
      <c r="B174" t="str">
        <v>Infrastructure</v>
      </c>
      <c r="C174" t="str">
        <v>ERS</v>
      </c>
      <c r="D174" t="str">
        <v>grid connection interval</v>
      </c>
      <c r="E174" t="str">
        <v>km</v>
      </c>
      <c r="F174">
        <v>10</v>
      </c>
      <c r="G174">
        <v>10</v>
      </c>
      <c r="H174">
        <v>10</v>
      </c>
      <c r="I174">
        <v>10</v>
      </c>
      <c r="J174">
        <v>10</v>
      </c>
      <c r="K174">
        <v>10</v>
      </c>
      <c r="L174">
        <v>10</v>
      </c>
      <c r="M174" t="s">
        <v>342</v>
      </c>
      <c r="N174" s="163" t="str">
        <f t="shared" si="2"/>
        <v>public ParameterTimeSeries&lt;Kilometers&gt; ERS_grid_connection_interval_km { get; } = new ParameterTimeSeries&lt;Kilometers&gt; { 10f, 10f, 10f, 10f, 10f, 10f, 10f };</v>
      </c>
    </row>
    <row r="175" spans="1:14" x14ac:dyDescent="0.35">
      <c r="A175" t="str">
        <v>ERS_reference_aadt</v>
      </c>
      <c r="B175" t="str">
        <v>Infrastructure</v>
      </c>
      <c r="C175" t="str">
        <v>ERS</v>
      </c>
      <c r="D175" t="str">
        <v>reference</v>
      </c>
      <c r="E175" t="str">
        <v>aadt</v>
      </c>
      <c r="F175">
        <v>2000</v>
      </c>
      <c r="G175">
        <v>2000</v>
      </c>
      <c r="H175">
        <v>2000</v>
      </c>
      <c r="I175">
        <v>2000</v>
      </c>
      <c r="J175">
        <v>2000</v>
      </c>
      <c r="K175">
        <v>2000</v>
      </c>
      <c r="L175">
        <v>2000</v>
      </c>
      <c r="M175" t="s">
        <v>368</v>
      </c>
      <c r="N175" s="163" t="str">
        <f>IF(C175="",IF(B174="","","} ")&amp;IF(#REF!="","","public class "&amp;B175&amp;" {"),"public ParameterTimeSeries&lt;"&amp;M175&amp;"&gt; "&amp;A175&amp;" { get; } = new ParameterTimeSeries&lt;"&amp;M175&amp;"&gt; { "&amp;_xlfn.TEXTJOIN("f, ",TRUE,F175:L175)&amp;"f };")</f>
        <v>public ParameterTimeSeries&lt;OtherUnit&gt; ERS_reference_aadt { get; } = new ParameterTimeSeries&lt;OtherUnit&gt; { 2000f, 2000f, 2000f, 2000f, 2000f, 2000f, 2000f };</v>
      </c>
    </row>
    <row r="176" spans="1:14" x14ac:dyDescent="0.35">
      <c r="A176" t="str">
        <v>Rest_Stop_hardware_cost_euro_per_kW</v>
      </c>
      <c r="B176" t="str">
        <v>Infrastructure</v>
      </c>
      <c r="C176" t="str">
        <v>Rest Stop</v>
      </c>
      <c r="D176" t="str">
        <v>hardware cost</v>
      </c>
      <c r="E176" t="str">
        <v>euro per kW</v>
      </c>
      <c r="F176">
        <v>300</v>
      </c>
      <c r="G176">
        <v>285.29701496999996</v>
      </c>
      <c r="H176">
        <v>271.31462250264127</v>
      </c>
      <c r="I176">
        <v>258.01750639238651</v>
      </c>
      <c r="J176">
        <v>245.37208127916921</v>
      </c>
      <c r="K176">
        <v>233.34640781974392</v>
      </c>
      <c r="L176">
        <v>221.91011201648402</v>
      </c>
      <c r="M176" t="s">
        <v>364</v>
      </c>
      <c r="N176" s="163" t="str">
        <f>IF(C176="",IF(#REF!="","","} ")&amp;IF(B177="","","public class "&amp;B176&amp;" {"),"public ParameterTimeSeries&lt;"&amp;M176&amp;"&gt; "&amp;A176&amp;" { get; } = new ParameterTimeSeries&lt;"&amp;M176&amp;"&gt; { "&amp;_xlfn.TEXTJOIN("f, ",TRUE,F176:L176)&amp;"f };")</f>
        <v>public ParameterTimeSeries&lt;EuroPerKiloWatt&gt; Rest_Stop_hardware_cost_euro_per_kW { get; } = new ParameterTimeSeries&lt;EuroPerKiloWatt&gt; { 300f, 285.29701497f, 271.314622502641f, 258.017506392387f, 245.372081279169f, 233.346407819744f, 221.910112016484f };</v>
      </c>
    </row>
    <row r="177" spans="1:14" x14ac:dyDescent="0.35">
      <c r="A177" t="str">
        <v>Rest_Stop_hardware_maintenance_ratio_per_year</v>
      </c>
      <c r="B177" t="str">
        <v>Infrastructure</v>
      </c>
      <c r="C177" t="str">
        <v>Rest Stop</v>
      </c>
      <c r="D177" t="str">
        <v>hardware maintenance</v>
      </c>
      <c r="E177" t="str">
        <v>ratio per year</v>
      </c>
      <c r="F177">
        <v>0.1</v>
      </c>
      <c r="G177">
        <v>9.7524875312187509E-2</v>
      </c>
      <c r="H177">
        <v>9.5111013046577209E-2</v>
      </c>
      <c r="I177">
        <v>9.2756896881832807E-2</v>
      </c>
      <c r="J177">
        <v>9.0461048027461785E-2</v>
      </c>
      <c r="K177">
        <v>8.8222024294880158E-2</v>
      </c>
      <c r="L177">
        <v>8.6038419191469651E-2</v>
      </c>
      <c r="M177" t="s">
        <v>368</v>
      </c>
      <c r="N177" s="163" t="str">
        <f t="shared" si="2"/>
        <v>public ParameterTimeSeries&lt;OtherUnit&gt; Rest_Stop_hardware_maintenance_ratio_per_year { get; } = new ParameterTimeSeries&lt;OtherUnit&gt; { 0.1f, 0.0975248753121875f, 0.0951110130465772f, 0.0927568968818328f, 0.0904610480274618f, 0.0882220242948802f, 0.0860384191914697f };</v>
      </c>
    </row>
    <row r="178" spans="1:14" x14ac:dyDescent="0.35">
      <c r="A178" t="str">
        <v>Rest_Stop_grid_connection_cable_euro</v>
      </c>
      <c r="B178" t="str">
        <v>Infrastructure</v>
      </c>
      <c r="C178" t="str">
        <v>Rest Stop</v>
      </c>
      <c r="D178" t="str">
        <v>grid connection cable</v>
      </c>
      <c r="E178" t="str">
        <v>euro</v>
      </c>
      <c r="F178">
        <v>15000</v>
      </c>
      <c r="G178">
        <v>15000</v>
      </c>
      <c r="H178">
        <v>15000</v>
      </c>
      <c r="I178">
        <v>15000</v>
      </c>
      <c r="J178">
        <v>15000</v>
      </c>
      <c r="K178">
        <v>15000</v>
      </c>
      <c r="L178">
        <v>15000</v>
      </c>
      <c r="M178" t="s">
        <v>349</v>
      </c>
      <c r="N178" s="163" t="str">
        <f t="shared" si="2"/>
        <v>public ParameterTimeSeries&lt;Euro&gt; Rest_Stop_grid_connection_cable_euro { get; } = new ParameterTimeSeries&lt;Euro&gt; { 15000f, 15000f, 15000f, 15000f, 15000f, 15000f, 15000f };</v>
      </c>
    </row>
    <row r="179" spans="1:14" x14ac:dyDescent="0.35">
      <c r="A179" t="str">
        <v>Rest_Stop_write_off_period_years</v>
      </c>
      <c r="B179" t="str">
        <v>Infrastructure</v>
      </c>
      <c r="C179" t="str">
        <v>Rest Stop</v>
      </c>
      <c r="D179" t="str">
        <v>write off period</v>
      </c>
      <c r="E179" t="str">
        <v>years</v>
      </c>
      <c r="F179">
        <v>15</v>
      </c>
      <c r="G179">
        <v>15</v>
      </c>
      <c r="H179">
        <v>15</v>
      </c>
      <c r="I179">
        <v>15</v>
      </c>
      <c r="J179">
        <v>15</v>
      </c>
      <c r="K179">
        <v>15</v>
      </c>
      <c r="L179">
        <v>15</v>
      </c>
      <c r="M179" t="s">
        <v>350</v>
      </c>
      <c r="N179" s="163" t="str">
        <f t="shared" si="2"/>
        <v>public ParameterTimeSeries&lt;Years&gt; Rest_Stop_write_off_period_years { get; } = new ParameterTimeSeries&lt;Years&gt; { 15f, 15f, 15f, 15f, 15f, 15f, 15f };</v>
      </c>
    </row>
    <row r="180" spans="1:14" x14ac:dyDescent="0.35">
      <c r="A180" t="str">
        <v>Rest_Stop_profit_margin_ratio</v>
      </c>
      <c r="B180" t="str">
        <v>Infrastructure</v>
      </c>
      <c r="C180" t="str">
        <v>Rest Stop</v>
      </c>
      <c r="D180" t="str">
        <v>profit margin</v>
      </c>
      <c r="E180" t="str">
        <v>ratio</v>
      </c>
      <c r="F180">
        <v>0.1</v>
      </c>
      <c r="G180">
        <v>0.1</v>
      </c>
      <c r="H180">
        <v>0.1</v>
      </c>
      <c r="I180">
        <v>0.1</v>
      </c>
      <c r="J180">
        <v>0.1</v>
      </c>
      <c r="K180">
        <v>0.1</v>
      </c>
      <c r="L180">
        <v>0.1</v>
      </c>
      <c r="M180" t="s">
        <v>354</v>
      </c>
      <c r="N180" s="163" t="str">
        <f t="shared" si="2"/>
        <v>public ParameterTimeSeries&lt;Dimensionless&gt; Rest_Stop_profit_margin_ratio { get; } = new ParameterTimeSeries&lt;Dimensionless&gt; { 0.1f, 0.1f, 0.1f, 0.1f, 0.1f, 0.1f, 0.1f };</v>
      </c>
    </row>
    <row r="181" spans="1:14" x14ac:dyDescent="0.35">
      <c r="A181" t="str">
        <v>Rest_Stop_utilization_ratio</v>
      </c>
      <c r="B181" t="str">
        <v>Infrastructure</v>
      </c>
      <c r="C181" t="str">
        <v>Rest Stop</v>
      </c>
      <c r="D181" t="str">
        <v>utilization</v>
      </c>
      <c r="E181" t="str">
        <v>ratio</v>
      </c>
      <c r="F181">
        <v>0.19898660714285721</v>
      </c>
      <c r="G181">
        <v>0.19898660714285721</v>
      </c>
      <c r="H181">
        <v>0.19898660714285721</v>
      </c>
      <c r="I181">
        <v>0.19898660714285721</v>
      </c>
      <c r="J181">
        <v>0.19898660714285721</v>
      </c>
      <c r="K181">
        <v>0.19898660714285721</v>
      </c>
      <c r="L181">
        <v>0.19898660714285721</v>
      </c>
      <c r="M181" t="s">
        <v>354</v>
      </c>
      <c r="N181" s="163" t="str">
        <f t="shared" si="2"/>
        <v>public ParameterTimeSeries&lt;Dimensionless&gt; Rest_Stop_utilization_ratio { get; } = new ParameterTimeSeries&lt;Dimensionless&gt; { 0.198986607142857f, 0.198986607142857f, 0.198986607142857f, 0.198986607142857f, 0.198986607142857f, 0.198986607142857f, 0.198986607142857f };</v>
      </c>
    </row>
    <row r="182" spans="1:14" x14ac:dyDescent="0.35">
      <c r="A182" t="str">
        <v>Rest_Stop_electricity_price_ratio</v>
      </c>
      <c r="B182" t="str">
        <v>Infrastructure</v>
      </c>
      <c r="C182" t="str">
        <v>Rest Stop</v>
      </c>
      <c r="D182" t="str">
        <v>electricity price</v>
      </c>
      <c r="E182" t="str">
        <v>ratio</v>
      </c>
      <c r="F182">
        <v>0.72604475975560701</v>
      </c>
      <c r="G182">
        <v>0.72604475975560701</v>
      </c>
      <c r="H182">
        <v>0.72604475975560701</v>
      </c>
      <c r="I182">
        <v>0.72604475975560701</v>
      </c>
      <c r="J182">
        <v>0.72604475975560701</v>
      </c>
      <c r="K182">
        <v>0.72604475975560701</v>
      </c>
      <c r="L182">
        <v>0.72604475975560701</v>
      </c>
      <c r="M182" t="s">
        <v>354</v>
      </c>
      <c r="N182" s="163" t="str">
        <f t="shared" si="2"/>
        <v>public ParameterTimeSeries&lt;Dimensionless&gt; Rest_Stop_electricity_price_ratio { get; } = new ParameterTimeSeries&lt;Dimensionless&gt; { 0.726044759755607f, 0.726044759755607f, 0.726044759755607f, 0.726044759755607f, 0.726044759755607f, 0.726044759755607f, 0.726044759755607f };</v>
      </c>
    </row>
    <row r="183" spans="1:14" x14ac:dyDescent="0.35">
      <c r="A183" t="str">
        <v>Rest_Stop_reference_vehicles_per_day</v>
      </c>
      <c r="B183" t="str">
        <v>Infrastructure</v>
      </c>
      <c r="C183" t="str">
        <v>Rest Stop</v>
      </c>
      <c r="D183" t="str">
        <v>reference</v>
      </c>
      <c r="E183" t="str">
        <v>vehicles per day</v>
      </c>
      <c r="F183">
        <v>100</v>
      </c>
      <c r="G183">
        <v>100</v>
      </c>
      <c r="H183">
        <v>100</v>
      </c>
      <c r="I183">
        <v>100</v>
      </c>
      <c r="J183">
        <v>100</v>
      </c>
      <c r="K183">
        <v>100</v>
      </c>
      <c r="L183">
        <v>100</v>
      </c>
      <c r="M183" t="s">
        <v>368</v>
      </c>
      <c r="N183" s="163" t="str">
        <f t="shared" si="2"/>
        <v>public ParameterTimeSeries&lt;OtherUnit&gt; Rest_Stop_reference_vehicles_per_day { get; } = new ParameterTimeSeries&lt;OtherUnit&gt; { 100f, 100f, 100f, 100f, 100f, 100f, 100f };</v>
      </c>
    </row>
    <row r="184" spans="1:14" x14ac:dyDescent="0.35">
      <c r="A184" t="str">
        <v>Depot_hardware_cost_euro_per_kW</v>
      </c>
      <c r="B184" t="str">
        <v>Infrastructure</v>
      </c>
      <c r="C184" t="str">
        <v>Depot</v>
      </c>
      <c r="D184" t="str">
        <v>hardware cost</v>
      </c>
      <c r="E184" t="str">
        <v>euro per kW</v>
      </c>
      <c r="F184">
        <v>300</v>
      </c>
      <c r="G184">
        <v>285.29701496999996</v>
      </c>
      <c r="H184">
        <v>271.31462250264127</v>
      </c>
      <c r="I184">
        <v>258.01750639238651</v>
      </c>
      <c r="J184">
        <v>245.37208127916921</v>
      </c>
      <c r="K184">
        <v>233.34640781974392</v>
      </c>
      <c r="L184">
        <v>221.91011201648402</v>
      </c>
      <c r="M184" t="s">
        <v>364</v>
      </c>
      <c r="N184" s="163" t="str">
        <f t="shared" si="2"/>
        <v>public ParameterTimeSeries&lt;EuroPerKiloWatt&gt; Depot_hardware_cost_euro_per_kW { get; } = new ParameterTimeSeries&lt;EuroPerKiloWatt&gt; { 300f, 285.29701497f, 271.314622502641f, 258.017506392387f, 245.372081279169f, 233.346407819744f, 221.910112016484f };</v>
      </c>
    </row>
    <row r="185" spans="1:14" x14ac:dyDescent="0.35">
      <c r="A185" t="str">
        <v>Depot_hardware_maintenance_ratio_per_year</v>
      </c>
      <c r="B185" t="str">
        <v>Infrastructure</v>
      </c>
      <c r="C185" t="str">
        <v>Depot</v>
      </c>
      <c r="D185" t="str">
        <v>hardware maintenance</v>
      </c>
      <c r="E185" t="str">
        <v>ratio per year</v>
      </c>
      <c r="F185">
        <v>0.1</v>
      </c>
      <c r="G185">
        <v>9.7524875312187509E-2</v>
      </c>
      <c r="H185">
        <v>9.5111013046577209E-2</v>
      </c>
      <c r="I185">
        <v>9.2756896881832807E-2</v>
      </c>
      <c r="J185">
        <v>9.0461048027461785E-2</v>
      </c>
      <c r="K185">
        <v>8.8222024294880158E-2</v>
      </c>
      <c r="L185">
        <v>8.6038419191469651E-2</v>
      </c>
      <c r="M185" t="str">
        <f>M177</f>
        <v>OtherUnit</v>
      </c>
      <c r="N185" s="163" t="str">
        <f t="shared" si="2"/>
        <v>public ParameterTimeSeries&lt;OtherUnit&gt; Depot_hardware_maintenance_ratio_per_year { get; } = new ParameterTimeSeries&lt;OtherUnit&gt; { 0.1f, 0.0975248753121875f, 0.0951110130465772f, 0.0927568968818328f, 0.0904610480274618f, 0.0882220242948802f, 0.0860384191914697f };</v>
      </c>
    </row>
    <row r="186" spans="1:14" x14ac:dyDescent="0.35">
      <c r="A186" t="str">
        <v>Depot_grid_connection_cable_euro</v>
      </c>
      <c r="B186" t="str">
        <v>Infrastructure</v>
      </c>
      <c r="C186" t="str">
        <v>Depot</v>
      </c>
      <c r="D186" t="str">
        <v>grid connection cable</v>
      </c>
      <c r="E186" t="str">
        <v>euro</v>
      </c>
      <c r="F186">
        <v>5000</v>
      </c>
      <c r="G186">
        <v>5000</v>
      </c>
      <c r="H186">
        <v>5000</v>
      </c>
      <c r="I186">
        <v>5000</v>
      </c>
      <c r="J186">
        <v>5000</v>
      </c>
      <c r="K186">
        <v>5000</v>
      </c>
      <c r="L186">
        <v>5000</v>
      </c>
      <c r="M186" t="s">
        <v>349</v>
      </c>
      <c r="N186" s="163" t="str">
        <f t="shared" si="2"/>
        <v>public ParameterTimeSeries&lt;Euro&gt; Depot_grid_connection_cable_euro { get; } = new ParameterTimeSeries&lt;Euro&gt; { 5000f, 5000f, 5000f, 5000f, 5000f, 5000f, 5000f };</v>
      </c>
    </row>
    <row r="187" spans="1:14" x14ac:dyDescent="0.35">
      <c r="A187" t="str">
        <v>Depot_write_off_period_years</v>
      </c>
      <c r="B187" t="str">
        <v>Infrastructure</v>
      </c>
      <c r="C187" t="str">
        <v>Depot</v>
      </c>
      <c r="D187" t="str">
        <v>write off period</v>
      </c>
      <c r="E187" t="str">
        <v>years</v>
      </c>
      <c r="F187">
        <v>7</v>
      </c>
      <c r="G187">
        <v>7</v>
      </c>
      <c r="H187">
        <v>7</v>
      </c>
      <c r="I187">
        <v>7</v>
      </c>
      <c r="J187">
        <v>7</v>
      </c>
      <c r="K187">
        <v>7</v>
      </c>
      <c r="L187">
        <v>7</v>
      </c>
      <c r="M187" t="s">
        <v>350</v>
      </c>
      <c r="N187" s="163" t="str">
        <f t="shared" si="2"/>
        <v>public ParameterTimeSeries&lt;Years&gt; Depot_write_off_period_years { get; } = new ParameterTimeSeries&lt;Years&gt; { 7f, 7f, 7f, 7f, 7f, 7f, 7f };</v>
      </c>
    </row>
    <row r="188" spans="1:14" x14ac:dyDescent="0.35">
      <c r="A188" t="str">
        <v>Depot_profit_margin_ratio</v>
      </c>
      <c r="B188" t="str">
        <v>Infrastructure</v>
      </c>
      <c r="C188" t="str">
        <v>Depot</v>
      </c>
      <c r="D188" t="str">
        <v>profit margin</v>
      </c>
      <c r="E188" t="str">
        <v>ratio</v>
      </c>
      <c r="F188">
        <v>0.1</v>
      </c>
      <c r="G188">
        <v>0.1</v>
      </c>
      <c r="H188">
        <v>0.1</v>
      </c>
      <c r="I188">
        <v>0.1</v>
      </c>
      <c r="J188">
        <v>0.1</v>
      </c>
      <c r="K188">
        <v>0.1</v>
      </c>
      <c r="L188">
        <v>0.1</v>
      </c>
      <c r="M188" t="s">
        <v>354</v>
      </c>
      <c r="N188" s="163" t="str">
        <f t="shared" si="2"/>
        <v>public ParameterTimeSeries&lt;Dimensionless&gt; Depot_profit_margin_ratio { get; } = new ParameterTimeSeries&lt;Dimensionless&gt; { 0.1f, 0.1f, 0.1f, 0.1f, 0.1f, 0.1f, 0.1f };</v>
      </c>
    </row>
    <row r="189" spans="1:14" x14ac:dyDescent="0.35">
      <c r="A189" t="str">
        <v>Depot_utilization_ratio</v>
      </c>
      <c r="B189" t="str">
        <v>Infrastructure</v>
      </c>
      <c r="C189" t="str">
        <v>Depot</v>
      </c>
      <c r="D189" t="str">
        <v>utilization</v>
      </c>
      <c r="E189" t="str">
        <v>ratio</v>
      </c>
      <c r="F189">
        <v>0.34132097069597084</v>
      </c>
      <c r="G189">
        <v>0.34132097069597084</v>
      </c>
      <c r="H189">
        <v>0.34132097069597084</v>
      </c>
      <c r="I189">
        <v>0.34132097069597084</v>
      </c>
      <c r="J189">
        <v>0.34132097069597084</v>
      </c>
      <c r="K189">
        <v>0.34132097069597084</v>
      </c>
      <c r="L189">
        <v>0.34132097069597084</v>
      </c>
      <c r="M189" t="s">
        <v>354</v>
      </c>
      <c r="N189" s="163" t="str">
        <f t="shared" si="2"/>
        <v>public ParameterTimeSeries&lt;Dimensionless&gt; Depot_utilization_ratio { get; } = new ParameterTimeSeries&lt;Dimensionless&gt; { 0.341320970695971f, 0.341320970695971f, 0.341320970695971f, 0.341320970695971f, 0.341320970695971f, 0.341320970695971f, 0.341320970695971f };</v>
      </c>
    </row>
    <row r="190" spans="1:14" x14ac:dyDescent="0.35">
      <c r="A190" t="str">
        <v>Depot_electricity_price_ratio</v>
      </c>
      <c r="B190" t="str">
        <v>Infrastructure</v>
      </c>
      <c r="C190" t="str">
        <v>Depot</v>
      </c>
      <c r="D190" t="str">
        <v>electricity price</v>
      </c>
      <c r="E190" t="str">
        <v>ratio</v>
      </c>
      <c r="F190">
        <v>0.37642924705736347</v>
      </c>
      <c r="G190">
        <v>0.37642924705736347</v>
      </c>
      <c r="H190">
        <v>0.37642924705736347</v>
      </c>
      <c r="I190">
        <v>0.37642924705736347</v>
      </c>
      <c r="J190">
        <v>0.37642924705736347</v>
      </c>
      <c r="K190">
        <v>0.37642924705736347</v>
      </c>
      <c r="L190">
        <v>0.37642924705736347</v>
      </c>
      <c r="M190" t="s">
        <v>354</v>
      </c>
      <c r="N190" s="163" t="str">
        <f t="shared" si="2"/>
        <v>public ParameterTimeSeries&lt;Dimensionless&gt; Depot_electricity_price_ratio { get; } = new ParameterTimeSeries&lt;Dimensionless&gt; { 0.376429247057363f, 0.376429247057363f, 0.376429247057363f, 0.376429247057363f, 0.376429247057363f, 0.376429247057363f, 0.376429247057363f };</v>
      </c>
    </row>
    <row r="191" spans="1:14" x14ac:dyDescent="0.35">
      <c r="A191" t="str">
        <v>Depot_reference_vehicles_per_day</v>
      </c>
      <c r="B191" t="str">
        <v>Infrastructure</v>
      </c>
      <c r="C191" t="str">
        <v>Depot</v>
      </c>
      <c r="D191" t="str">
        <v>reference</v>
      </c>
      <c r="E191" t="str">
        <v>vehicles per day</v>
      </c>
      <c r="F191">
        <v>20</v>
      </c>
      <c r="G191">
        <v>20</v>
      </c>
      <c r="H191">
        <v>20</v>
      </c>
      <c r="I191">
        <v>20</v>
      </c>
      <c r="J191">
        <v>20</v>
      </c>
      <c r="K191">
        <v>20</v>
      </c>
      <c r="L191">
        <v>20</v>
      </c>
      <c r="M191" t="s">
        <v>368</v>
      </c>
      <c r="N191" s="163" t="str">
        <f t="shared" si="2"/>
        <v>public ParameterTimeSeries&lt;OtherUnit&gt; Depot_reference_vehicles_per_day { get; } = new ParameterTimeSeries&lt;OtherUnit&gt; { 20f, 20f, 20f, 20f, 20f, 20f, 20f };</v>
      </c>
    </row>
    <row r="192" spans="1:14" x14ac:dyDescent="0.35">
      <c r="A192" t="str">
        <v>Destination_hardware_cost_euro_per_kW</v>
      </c>
      <c r="B192" t="str">
        <v>Infrastructure</v>
      </c>
      <c r="C192" t="str">
        <v>Destination</v>
      </c>
      <c r="D192" t="str">
        <v>hardware cost</v>
      </c>
      <c r="E192" t="str">
        <v>euro per kW</v>
      </c>
      <c r="F192">
        <v>300</v>
      </c>
      <c r="G192">
        <v>285.29701496999996</v>
      </c>
      <c r="H192">
        <v>271.31462250264127</v>
      </c>
      <c r="I192">
        <v>258.01750639238651</v>
      </c>
      <c r="J192">
        <v>245.37208127916921</v>
      </c>
      <c r="K192">
        <v>233.34640781974392</v>
      </c>
      <c r="L192">
        <v>221.91011201648402</v>
      </c>
      <c r="M192" t="s">
        <v>364</v>
      </c>
      <c r="N192" s="163" t="str">
        <f t="shared" si="2"/>
        <v>public ParameterTimeSeries&lt;EuroPerKiloWatt&gt; Destination_hardware_cost_euro_per_kW { get; } = new ParameterTimeSeries&lt;EuroPerKiloWatt&gt; { 300f, 285.29701497f, 271.314622502641f, 258.017506392387f, 245.372081279169f, 233.346407819744f, 221.910112016484f };</v>
      </c>
    </row>
    <row r="193" spans="1:14" x14ac:dyDescent="0.35">
      <c r="A193" t="str">
        <v>Destination_hardware_maintenance_ratio_per_year</v>
      </c>
      <c r="B193" t="str">
        <v>Infrastructure</v>
      </c>
      <c r="C193" t="str">
        <v>Destination</v>
      </c>
      <c r="D193" t="str">
        <v>hardware maintenance</v>
      </c>
      <c r="E193" t="str">
        <v>ratio per year</v>
      </c>
      <c r="F193">
        <v>0.1</v>
      </c>
      <c r="G193">
        <v>9.7524875312187509E-2</v>
      </c>
      <c r="H193">
        <v>9.5111013046577209E-2</v>
      </c>
      <c r="I193">
        <v>9.2756896881832807E-2</v>
      </c>
      <c r="J193">
        <v>9.0461048027461785E-2</v>
      </c>
      <c r="K193">
        <v>8.8222024294880158E-2</v>
      </c>
      <c r="L193">
        <v>8.6038419191469651E-2</v>
      </c>
      <c r="M193" t="str">
        <f>M177</f>
        <v>OtherUnit</v>
      </c>
      <c r="N193" s="163" t="str">
        <f t="shared" si="2"/>
        <v>public ParameterTimeSeries&lt;OtherUnit&gt; Destination_hardware_maintenance_ratio_per_year { get; } = new ParameterTimeSeries&lt;OtherUnit&gt; { 0.1f, 0.0975248753121875f, 0.0951110130465772f, 0.0927568968818328f, 0.0904610480274618f, 0.0882220242948802f, 0.0860384191914697f };</v>
      </c>
    </row>
    <row r="194" spans="1:14" x14ac:dyDescent="0.35">
      <c r="A194" t="str">
        <v>Destination_grid_connection_cable_euro</v>
      </c>
      <c r="B194" t="str">
        <v>Infrastructure</v>
      </c>
      <c r="C194" t="str">
        <v>Destination</v>
      </c>
      <c r="D194" t="str">
        <v>grid connection cable</v>
      </c>
      <c r="E194" t="str">
        <v>euro</v>
      </c>
      <c r="F194">
        <v>5000</v>
      </c>
      <c r="G194">
        <v>5000</v>
      </c>
      <c r="H194">
        <v>5000</v>
      </c>
      <c r="I194">
        <v>5000</v>
      </c>
      <c r="J194">
        <v>5000</v>
      </c>
      <c r="K194">
        <v>5000</v>
      </c>
      <c r="L194">
        <v>5000</v>
      </c>
      <c r="M194" t="s">
        <v>349</v>
      </c>
      <c r="N194" s="163" t="str">
        <f t="shared" si="2"/>
        <v>public ParameterTimeSeries&lt;Euro&gt; Destination_grid_connection_cable_euro { get; } = new ParameterTimeSeries&lt;Euro&gt; { 5000f, 5000f, 5000f, 5000f, 5000f, 5000f, 5000f };</v>
      </c>
    </row>
    <row r="195" spans="1:14" x14ac:dyDescent="0.35">
      <c r="A195" t="str">
        <v>Destination_write_off_period_years</v>
      </c>
      <c r="B195" t="str">
        <v>Infrastructure</v>
      </c>
      <c r="C195" t="str">
        <v>Destination</v>
      </c>
      <c r="D195" t="str">
        <v>write off period</v>
      </c>
      <c r="E195" t="str">
        <v>years</v>
      </c>
      <c r="F195">
        <v>10</v>
      </c>
      <c r="G195">
        <v>10</v>
      </c>
      <c r="H195">
        <v>10</v>
      </c>
      <c r="I195">
        <v>10</v>
      </c>
      <c r="J195">
        <v>10</v>
      </c>
      <c r="K195">
        <v>10</v>
      </c>
      <c r="L195">
        <v>10</v>
      </c>
      <c r="M195" t="s">
        <v>350</v>
      </c>
      <c r="N195" s="163" t="str">
        <f t="shared" si="2"/>
        <v>public ParameterTimeSeries&lt;Years&gt; Destination_write_off_period_years { get; } = new ParameterTimeSeries&lt;Years&gt; { 10f, 10f, 10f, 10f, 10f, 10f, 10f };</v>
      </c>
    </row>
    <row r="196" spans="1:14" x14ac:dyDescent="0.35">
      <c r="A196" t="str">
        <v>Destination_profit_margin_ratio</v>
      </c>
      <c r="B196" t="str">
        <v>Infrastructure</v>
      </c>
      <c r="C196" t="str">
        <v>Destination</v>
      </c>
      <c r="D196" t="str">
        <v>profit margin</v>
      </c>
      <c r="E196" t="str">
        <v>ratio</v>
      </c>
      <c r="F196">
        <v>0.1</v>
      </c>
      <c r="G196">
        <v>0.1</v>
      </c>
      <c r="H196">
        <v>0.1</v>
      </c>
      <c r="I196">
        <v>0.1</v>
      </c>
      <c r="J196">
        <v>0.1</v>
      </c>
      <c r="K196">
        <v>0.1</v>
      </c>
      <c r="L196">
        <v>0.1</v>
      </c>
      <c r="M196" t="s">
        <v>354</v>
      </c>
      <c r="N196" s="163" t="str">
        <f t="shared" ref="N196:N229" si="3">IF(C196="",IF(B195="","","} ")&amp;IF(B197="","","public class "&amp;B196&amp;" {"),"public ParameterTimeSeries&lt;"&amp;M196&amp;"&gt; "&amp;A196&amp;" { get; } = new ParameterTimeSeries&lt;"&amp;M196&amp;"&gt; { "&amp;_xlfn.TEXTJOIN("f, ",TRUE,F196:L196)&amp;"f };")</f>
        <v>public ParameterTimeSeries&lt;Dimensionless&gt; Destination_profit_margin_ratio { get; } = new ParameterTimeSeries&lt;Dimensionless&gt; { 0.1f, 0.1f, 0.1f, 0.1f, 0.1f, 0.1f, 0.1f };</v>
      </c>
    </row>
    <row r="197" spans="1:14" x14ac:dyDescent="0.35">
      <c r="A197" t="str">
        <v>Destination_utilization_ratio</v>
      </c>
      <c r="B197" t="str">
        <v>Infrastructure</v>
      </c>
      <c r="C197" t="str">
        <v>Destination</v>
      </c>
      <c r="D197" t="str">
        <v>utilization</v>
      </c>
      <c r="E197" t="str">
        <v>ratio</v>
      </c>
      <c r="F197">
        <v>0.13418253968253971</v>
      </c>
      <c r="G197">
        <v>0.13418253968253971</v>
      </c>
      <c r="H197">
        <v>0.13418253968253971</v>
      </c>
      <c r="I197">
        <v>0.13418253968253971</v>
      </c>
      <c r="J197">
        <v>0.13418253968253971</v>
      </c>
      <c r="K197">
        <v>0.13418253968253971</v>
      </c>
      <c r="L197">
        <v>0.13418253968253971</v>
      </c>
      <c r="M197" t="s">
        <v>354</v>
      </c>
      <c r="N197" s="163" t="str">
        <f t="shared" si="3"/>
        <v>public ParameterTimeSeries&lt;Dimensionless&gt; Destination_utilization_ratio { get; } = new ParameterTimeSeries&lt;Dimensionless&gt; { 0.13418253968254f, 0.13418253968254f, 0.13418253968254f, 0.13418253968254f, 0.13418253968254f, 0.13418253968254f, 0.13418253968254f };</v>
      </c>
    </row>
    <row r="198" spans="1:14" x14ac:dyDescent="0.35">
      <c r="A198" t="str">
        <v>Destination_electricity_price_ratio</v>
      </c>
      <c r="B198" t="str">
        <v>Infrastructure</v>
      </c>
      <c r="C198" t="str">
        <v>Destination</v>
      </c>
      <c r="D198" t="str">
        <v>electricity price</v>
      </c>
      <c r="E198" t="str">
        <v>ratio</v>
      </c>
      <c r="F198">
        <v>0.82451781904715449</v>
      </c>
      <c r="G198">
        <v>0.82451781904715449</v>
      </c>
      <c r="H198">
        <v>0.82451781904715449</v>
      </c>
      <c r="I198">
        <v>0.82451781904715449</v>
      </c>
      <c r="J198">
        <v>0.82451781904715449</v>
      </c>
      <c r="K198">
        <v>0.82451781904715449</v>
      </c>
      <c r="L198">
        <v>0.82451781904715449</v>
      </c>
      <c r="M198" t="s">
        <v>354</v>
      </c>
      <c r="N198" s="163" t="str">
        <f t="shared" si="3"/>
        <v>public ParameterTimeSeries&lt;Dimensionless&gt; Destination_electricity_price_ratio { get; } = new ParameterTimeSeries&lt;Dimensionless&gt; { 0.824517819047154f, 0.824517819047154f, 0.824517819047154f, 0.824517819047154f, 0.824517819047154f, 0.824517819047154f, 0.824517819047154f };</v>
      </c>
    </row>
    <row r="199" spans="1:14" x14ac:dyDescent="0.35">
      <c r="A199" t="str">
        <v>Destination_reference_vehicles_per_day</v>
      </c>
      <c r="B199" t="str">
        <v>Infrastructure</v>
      </c>
      <c r="C199" t="str">
        <v>Destination</v>
      </c>
      <c r="D199" t="str">
        <v>reference</v>
      </c>
      <c r="E199" t="str">
        <v>vehicles per day</v>
      </c>
      <c r="F199">
        <v>50</v>
      </c>
      <c r="G199">
        <v>50</v>
      </c>
      <c r="H199">
        <v>50</v>
      </c>
      <c r="I199">
        <v>50</v>
      </c>
      <c r="J199">
        <v>50</v>
      </c>
      <c r="K199">
        <v>50</v>
      </c>
      <c r="L199">
        <v>50</v>
      </c>
      <c r="M199" t="s">
        <v>368</v>
      </c>
      <c r="N199" s="163" t="str">
        <f t="shared" si="3"/>
        <v>public ParameterTimeSeries&lt;OtherUnit&gt; Destination_reference_vehicles_per_day { get; } = new ParameterTimeSeries&lt;OtherUnit&gt; { 50f, 50f, 50f, 50f, 50f, 50f, 50f };</v>
      </c>
    </row>
    <row r="200" spans="1:14" x14ac:dyDescent="0.35">
      <c r="A200" t="str">
        <v>Grid_initial_acccess_base_euro</v>
      </c>
      <c r="B200" t="str">
        <v>Infrastructure</v>
      </c>
      <c r="C200" t="str">
        <v>Grid</v>
      </c>
      <c r="D200" t="str">
        <v>initial acccess base</v>
      </c>
      <c r="E200" t="str">
        <v>euro</v>
      </c>
      <c r="F200">
        <v>5000</v>
      </c>
      <c r="G200">
        <v>5000</v>
      </c>
      <c r="H200">
        <v>5000</v>
      </c>
      <c r="I200">
        <v>5000</v>
      </c>
      <c r="J200">
        <v>5000</v>
      </c>
      <c r="K200">
        <v>5000</v>
      </c>
      <c r="L200">
        <v>5000</v>
      </c>
      <c r="M200" t="s">
        <v>349</v>
      </c>
      <c r="N200" s="163" t="str">
        <f t="shared" si="3"/>
        <v>public ParameterTimeSeries&lt;Euro&gt; Grid_initial_acccess_base_euro { get; } = new ParameterTimeSeries&lt;Euro&gt; { 5000f, 5000f, 5000f, 5000f, 5000f, 5000f, 5000f };</v>
      </c>
    </row>
    <row r="201" spans="1:14" x14ac:dyDescent="0.35">
      <c r="A201" t="str">
        <v>Grid_initial_acccess_euro_per_kW</v>
      </c>
      <c r="B201" t="str">
        <v>Infrastructure</v>
      </c>
      <c r="C201" t="str">
        <v>Grid</v>
      </c>
      <c r="D201" t="str">
        <v>initial acccess</v>
      </c>
      <c r="E201" t="str">
        <v>euro per kW</v>
      </c>
      <c r="F201">
        <v>300</v>
      </c>
      <c r="G201">
        <v>300</v>
      </c>
      <c r="H201">
        <v>300</v>
      </c>
      <c r="I201">
        <v>300</v>
      </c>
      <c r="J201">
        <v>300</v>
      </c>
      <c r="K201">
        <v>300</v>
      </c>
      <c r="L201">
        <v>300</v>
      </c>
      <c r="M201" t="s">
        <v>364</v>
      </c>
      <c r="N201" s="163" t="str">
        <f t="shared" si="3"/>
        <v>public ParameterTimeSeries&lt;EuroPerKiloWatt&gt; Grid_initial_acccess_euro_per_kW { get; } = new ParameterTimeSeries&lt;EuroPerKiloWatt&gt; { 300f, 300f, 300f, 300f, 300f, 300f, 300f };</v>
      </c>
    </row>
    <row r="202" spans="1:14" x14ac:dyDescent="0.35">
      <c r="A202" t="str">
        <v>Grid_fee_at_10_percent_utilization_euro_per_kWh</v>
      </c>
      <c r="B202" t="str">
        <v>Infrastructure</v>
      </c>
      <c r="C202" t="str">
        <v>Grid</v>
      </c>
      <c r="D202" t="str">
        <v>fee at 10 percent utilization</v>
      </c>
      <c r="E202" t="str">
        <v>euro per kWh</v>
      </c>
      <c r="F202">
        <v>0.06</v>
      </c>
      <c r="G202">
        <v>0.06</v>
      </c>
      <c r="H202">
        <v>0.06</v>
      </c>
      <c r="I202">
        <v>0.06</v>
      </c>
      <c r="J202">
        <v>0.06</v>
      </c>
      <c r="K202">
        <v>0.06</v>
      </c>
      <c r="L202">
        <v>0.06</v>
      </c>
      <c r="M202" t="s">
        <v>365</v>
      </c>
      <c r="N202" s="163" t="str">
        <f t="shared" si="3"/>
        <v>public ParameterTimeSeries&lt;EuroPerKiloWattHour&gt; Grid_fee_at_10_percent_utilization_euro_per_kWh { get; } = new ParameterTimeSeries&lt;EuroPerKiloWattHour&gt; { 0.06f, 0.06f, 0.06f, 0.06f, 0.06f, 0.06f, 0.06f };</v>
      </c>
    </row>
    <row r="203" spans="1:14" x14ac:dyDescent="0.35">
      <c r="A203" t="str">
        <v>_</v>
      </c>
      <c r="B203" t="s">
        <v>251</v>
      </c>
      <c r="N203" s="163" t="str">
        <f t="shared" si="3"/>
        <v>} public class BatteryInternal {</v>
      </c>
    </row>
    <row r="204" spans="1:14" x14ac:dyDescent="0.35">
      <c r="A204" t="str">
        <v>Gross_SoC_window_ratio</v>
      </c>
      <c r="B204" t="str" cm="1">
        <f t="array" ref="B204:L226">batteries!A2:K24</f>
        <v>Battery</v>
      </c>
      <c r="C204" t="str">
        <v>Gross</v>
      </c>
      <c r="D204" t="str">
        <v>SoC window</v>
      </c>
      <c r="E204" t="str">
        <v>ratio</v>
      </c>
      <c r="F204">
        <v>0.65</v>
      </c>
      <c r="G204">
        <v>0.82499999999999996</v>
      </c>
      <c r="H204">
        <v>0.91249999999999998</v>
      </c>
      <c r="I204">
        <v>0.95625000000000004</v>
      </c>
      <c r="J204">
        <v>0.97812500000000002</v>
      </c>
      <c r="K204">
        <v>0.98906249999999996</v>
      </c>
      <c r="L204">
        <v>0.99453124999999998</v>
      </c>
      <c r="M204" t="s">
        <v>354</v>
      </c>
      <c r="N204" s="163" t="str">
        <f t="shared" si="3"/>
        <v>public ParameterTimeSeries&lt;Dimensionless&gt; Gross_SoC_window_ratio { get; } = new ParameterTimeSeries&lt;Dimensionless&gt; { 0.65f, 0.825f, 0.9125f, 0.95625f, 0.978125f, 0.9890625f, 0.99453125f };</v>
      </c>
    </row>
    <row r="205" spans="1:14" x14ac:dyDescent="0.35">
      <c r="A205" t="str">
        <v>Gross_Calendar_lifetime_years</v>
      </c>
      <c r="B205" t="str">
        <v>Battery</v>
      </c>
      <c r="C205" t="str">
        <v>Gross</v>
      </c>
      <c r="D205" t="str">
        <v>Calendar lifetime</v>
      </c>
      <c r="E205" t="str">
        <v>years</v>
      </c>
      <c r="F205">
        <v>15</v>
      </c>
      <c r="G205">
        <v>16.5</v>
      </c>
      <c r="H205">
        <v>18</v>
      </c>
      <c r="I205">
        <v>19.5</v>
      </c>
      <c r="J205">
        <v>21</v>
      </c>
      <c r="K205">
        <v>22.5</v>
      </c>
      <c r="L205">
        <v>24</v>
      </c>
      <c r="M205" t="s">
        <v>350</v>
      </c>
      <c r="N205" s="163" t="str">
        <f t="shared" si="3"/>
        <v>public ParameterTimeSeries&lt;Years&gt; Gross_Calendar_lifetime_years { get; } = new ParameterTimeSeries&lt;Years&gt; { 15f, 16.5f, 18f, 19.5f, 21f, 22.5f, 24f };</v>
      </c>
    </row>
    <row r="206" spans="1:14" x14ac:dyDescent="0.35">
      <c r="A206" t="str">
        <v>Gross_Cycle_lifetime_cycles</v>
      </c>
      <c r="B206" t="str">
        <v>Battery</v>
      </c>
      <c r="C206" t="str">
        <v>Gross</v>
      </c>
      <c r="D206" t="str">
        <v>Cycle lifetime</v>
      </c>
      <c r="E206" t="str">
        <v>cycles</v>
      </c>
      <c r="F206">
        <v>1500</v>
      </c>
      <c r="G206">
        <v>2007.3383664000007</v>
      </c>
      <c r="H206">
        <v>2686.2715448142826</v>
      </c>
      <c r="I206">
        <v>3594.8372896495389</v>
      </c>
      <c r="J206">
        <v>4810.7032083192744</v>
      </c>
      <c r="K206">
        <v>6437.8060796152367</v>
      </c>
      <c r="L206">
        <v>8615.2367593698946</v>
      </c>
      <c r="M206" t="s">
        <v>354</v>
      </c>
      <c r="N206" s="163" t="str">
        <f t="shared" si="3"/>
        <v>public ParameterTimeSeries&lt;Dimensionless&gt; Gross_Cycle_lifetime_cycles { get; } = new ParameterTimeSeries&lt;Dimensionless&gt; { 1500f, 2007.3383664f, 2686.27154481428f, 3594.83728964954f, 4810.70320831927f, 6437.80607961524f, 8615.23675936989f };</v>
      </c>
    </row>
    <row r="207" spans="1:14" x14ac:dyDescent="0.35">
      <c r="A207" t="str">
        <v>Gross_Reference_charging_rate_c</v>
      </c>
      <c r="B207" t="str">
        <v>Battery</v>
      </c>
      <c r="C207" t="str">
        <v>Gross</v>
      </c>
      <c r="D207" t="str">
        <v>Reference charging rate</v>
      </c>
      <c r="E207" t="str">
        <v>c</v>
      </c>
      <c r="F207">
        <v>1</v>
      </c>
      <c r="G207">
        <v>1.2166529024000003</v>
      </c>
      <c r="H207">
        <v>1.4802442849183448</v>
      </c>
      <c r="I207">
        <v>1.8009435055069172</v>
      </c>
      <c r="J207">
        <v>2.1911231430334217</v>
      </c>
      <c r="K207">
        <v>2.6658363314874238</v>
      </c>
      <c r="L207">
        <v>3.2433975100275436</v>
      </c>
      <c r="M207" t="s">
        <v>366</v>
      </c>
      <c r="N207" s="163" t="str">
        <f t="shared" si="3"/>
        <v>public ParameterTimeSeries&lt;CRate&gt; Gross_Reference_charging_rate_c { get; } = new ParameterTimeSeries&lt;CRate&gt; { 1f, 1.2166529024f, 1.48024428491834f, 1.80094350550692f, 2.19112314303342f, 2.66583633148742f, 3.24339751002754f };</v>
      </c>
    </row>
    <row r="208" spans="1:14" x14ac:dyDescent="0.35">
      <c r="A208" t="str">
        <v>Gross_Reference_discharging_rate_c</v>
      </c>
      <c r="B208" t="str">
        <v>Battery</v>
      </c>
      <c r="C208" t="str">
        <v>Gross</v>
      </c>
      <c r="D208" t="str">
        <v>Reference discharging rate</v>
      </c>
      <c r="E208" t="str">
        <v>c</v>
      </c>
      <c r="F208">
        <v>1.5</v>
      </c>
      <c r="G208">
        <v>1.8249793536000005</v>
      </c>
      <c r="H208">
        <v>2.2203664273775172</v>
      </c>
      <c r="I208">
        <v>2.7014152582603761</v>
      </c>
      <c r="J208">
        <v>3.286684714550133</v>
      </c>
      <c r="K208">
        <v>3.9987544972311362</v>
      </c>
      <c r="L208">
        <v>4.8650962650413163</v>
      </c>
      <c r="M208" t="s">
        <v>366</v>
      </c>
      <c r="N208" s="163" t="str">
        <f t="shared" si="3"/>
        <v>public ParameterTimeSeries&lt;CRate&gt; Gross_Reference_discharging_rate_c { get; } = new ParameterTimeSeries&lt;CRate&gt; { 1.5f, 1.8249793536f, 2.22036642737752f, 2.70141525826038f, 3.28668471455013f, 3.99875449723114f, 4.86509626504132f };</v>
      </c>
    </row>
    <row r="209" spans="1:14" x14ac:dyDescent="0.35">
      <c r="A209" t="str">
        <v>Gross_Max_permitted_charging_rate_c</v>
      </c>
      <c r="B209" t="str">
        <v>Battery</v>
      </c>
      <c r="C209" t="str">
        <v>Gross</v>
      </c>
      <c r="D209" t="str">
        <v>Max permitted charging rate</v>
      </c>
      <c r="E209" t="str">
        <v>c</v>
      </c>
      <c r="F209">
        <v>1.5</v>
      </c>
      <c r="G209">
        <v>1.8249793536000005</v>
      </c>
      <c r="H209">
        <v>2.2203664273775172</v>
      </c>
      <c r="I209">
        <v>2.7014152582603757</v>
      </c>
      <c r="J209">
        <v>3.2866847145501326</v>
      </c>
      <c r="K209">
        <v>3.9987544972311357</v>
      </c>
      <c r="L209">
        <v>4.8650962650413154</v>
      </c>
      <c r="M209" t="s">
        <v>366</v>
      </c>
      <c r="N209" s="163" t="str">
        <f t="shared" si="3"/>
        <v>public ParameterTimeSeries&lt;CRate&gt; Gross_Max_permitted_charging_rate_c { get; } = new ParameterTimeSeries&lt;CRate&gt; { 1.5f, 1.8249793536f, 2.22036642737752f, 2.70141525826038f, 3.28668471455013f, 3.99875449723114f, 4.86509626504132f };</v>
      </c>
    </row>
    <row r="210" spans="1:14" x14ac:dyDescent="0.35">
      <c r="A210" t="str">
        <v>Gross_Max_permitted_discharging_rate_c</v>
      </c>
      <c r="B210" t="str">
        <v>Battery</v>
      </c>
      <c r="C210" t="str">
        <v>Gross</v>
      </c>
      <c r="D210" t="str">
        <v>Max permitted discharging rate</v>
      </c>
      <c r="E210" t="str">
        <v>c</v>
      </c>
      <c r="F210">
        <v>2.25</v>
      </c>
      <c r="G210">
        <v>2.7374690304000007</v>
      </c>
      <c r="H210">
        <v>3.330549641066276</v>
      </c>
      <c r="I210">
        <v>4.0521228873905644</v>
      </c>
      <c r="J210">
        <v>4.9300270718251991</v>
      </c>
      <c r="K210">
        <v>5.9981317458467043</v>
      </c>
      <c r="L210">
        <v>7.2976443975619745</v>
      </c>
      <c r="M210" t="s">
        <v>366</v>
      </c>
      <c r="N210" s="163" t="str">
        <f t="shared" si="3"/>
        <v>public ParameterTimeSeries&lt;CRate&gt; Gross_Max_permitted_discharging_rate_c { get; } = new ParameterTimeSeries&lt;CRate&gt; { 2.25f, 2.7374690304f, 3.33054964106628f, 4.05212288739056f, 4.9300270718252f, 5.9981317458467f, 7.29764439756197f };</v>
      </c>
    </row>
    <row r="211" spans="1:14" x14ac:dyDescent="0.35">
      <c r="A211" t="str">
        <v>Gross_Specific_energy_kWh_per_kg</v>
      </c>
      <c r="B211" t="str">
        <v>Battery</v>
      </c>
      <c r="C211" t="str">
        <v>Gross</v>
      </c>
      <c r="D211" t="str">
        <v>Specific energy</v>
      </c>
      <c r="E211" t="str">
        <v>kWh per kg</v>
      </c>
      <c r="F211">
        <v>0.2</v>
      </c>
      <c r="G211">
        <v>0.23185481485999998</v>
      </c>
      <c r="H211">
        <v>0.26878327586882433</v>
      </c>
      <c r="I211">
        <v>0.3115934833201528</v>
      </c>
      <c r="J211">
        <v>0.36122224693388255</v>
      </c>
      <c r="K211">
        <v>0.41875558593084267</v>
      </c>
      <c r="L211">
        <v>0.48545249423793169</v>
      </c>
      <c r="M211" t="s">
        <v>367</v>
      </c>
      <c r="N211" s="163" t="str">
        <f t="shared" si="3"/>
        <v>public ParameterTimeSeries&lt;KiloWattHoursPerKilogram&gt; Gross_Specific_energy_kWh_per_kg { get; } = new ParameterTimeSeries&lt;KiloWattHoursPerKilogram&gt; { 0.2f, 0.23185481486f, 0.268783275868824f, 0.311593483320153f, 0.361222246933883f, 0.418755585930843f, 0.485452494237932f };</v>
      </c>
    </row>
    <row r="212" spans="1:14" x14ac:dyDescent="0.35">
      <c r="A212" t="str">
        <v>Gross_Energy_density_kWh_per_liter</v>
      </c>
      <c r="B212" t="str">
        <v>Battery</v>
      </c>
      <c r="C212" t="str">
        <v>Gross</v>
      </c>
      <c r="D212" t="str">
        <v>Energy density</v>
      </c>
      <c r="E212" t="str">
        <v>kWh per liter</v>
      </c>
      <c r="F212">
        <v>0.5</v>
      </c>
      <c r="G212">
        <v>0.57963703714999992</v>
      </c>
      <c r="H212">
        <v>0.67195818967206078</v>
      </c>
      <c r="I212">
        <v>0.77898370830038199</v>
      </c>
      <c r="J212">
        <v>0.90305561733470641</v>
      </c>
      <c r="K212">
        <v>1.0468889648271067</v>
      </c>
      <c r="L212">
        <v>1.2136312355948291</v>
      </c>
      <c r="M212" t="s">
        <v>361</v>
      </c>
      <c r="N212" s="163" t="str">
        <f t="shared" si="3"/>
        <v>public ParameterTimeSeries&lt;KiloWattHoursPerLiter&gt; Gross_Energy_density_kWh_per_liter { get; } = new ParameterTimeSeries&lt;KiloWattHoursPerLiter&gt; { 0.5f, 0.57963703715f, 0.671958189672061f, 0.778983708300382f, 0.903055617334706f, 1.04688896482711f, 1.21363123559483f };</v>
      </c>
    </row>
    <row r="213" spans="1:14" x14ac:dyDescent="0.35">
      <c r="A213" t="str">
        <v>Gross_Pack_cost_euro_per_kWh</v>
      </c>
      <c r="B213" t="str">
        <v>Battery</v>
      </c>
      <c r="C213" t="str">
        <v>Gross</v>
      </c>
      <c r="D213" t="str">
        <v>Pack cost</v>
      </c>
      <c r="E213" t="str">
        <v>€ per kWh</v>
      </c>
      <c r="F213">
        <v>270</v>
      </c>
      <c r="G213">
        <v>206.13696537599998</v>
      </c>
      <c r="H213">
        <v>159.26762738277591</v>
      </c>
      <c r="I213">
        <v>124.8700317023236</v>
      </c>
      <c r="J213">
        <v>99.625497871550806</v>
      </c>
      <c r="K213">
        <v>81.098432949533773</v>
      </c>
      <c r="L213">
        <v>67.501345479999543</v>
      </c>
      <c r="M213" t="s">
        <v>365</v>
      </c>
      <c r="N213" s="163" t="str">
        <f t="shared" si="3"/>
        <v>public ParameterTimeSeries&lt;EuroPerKiloWattHour&gt; Gross_Pack_cost_euro_per_kWh { get; } = new ParameterTimeSeries&lt;EuroPerKiloWattHour&gt; { 270f, 206.136965376f, 159.267627382776f, 124.870031702324f, 99.6254978715508f, 81.0984329495338f, 67.5013454799995f };</v>
      </c>
    </row>
    <row r="214" spans="1:14" x14ac:dyDescent="0.35">
      <c r="A214" t="str">
        <v>Gross_Production_emissions_kg_CO2_per_kWh</v>
      </c>
      <c r="B214" t="str">
        <v>Battery</v>
      </c>
      <c r="C214" t="str">
        <v>Gross</v>
      </c>
      <c r="D214" t="str">
        <v>Production emissions</v>
      </c>
      <c r="E214" t="str">
        <v>kg CO₂ per kWh</v>
      </c>
      <c r="F214">
        <v>150</v>
      </c>
      <c r="G214">
        <v>98.862228480000013</v>
      </c>
      <c r="H214">
        <v>65.158268133544837</v>
      </c>
      <c r="I214">
        <v>42.944610610530759</v>
      </c>
      <c r="J214">
        <v>28.303999374419501</v>
      </c>
      <c r="K214">
        <v>18.654643020344256</v>
      </c>
      <c r="L214">
        <v>12.294930536600743</v>
      </c>
      <c r="M214" t="s">
        <v>362</v>
      </c>
      <c r="N214" s="163" t="str">
        <f t="shared" si="3"/>
        <v>public ParameterTimeSeries&lt;KilogramPerKiloWattHour&gt; Gross_Production_emissions_kg_CO2_per_kWh { get; } = new ParameterTimeSeries&lt;KilogramPerKiloWattHour&gt; { 150f, 98.86222848f, 65.1582681335448f, 42.9446106105308f, 28.3039993744195f, 18.6546430203443f, 12.2949305366007f };</v>
      </c>
    </row>
    <row r="215" spans="1:14" x14ac:dyDescent="0.35">
      <c r="A215" t="str">
        <v>Gross_End_of_life_definition_ratio_of_gross</v>
      </c>
      <c r="B215" t="str">
        <v>Battery</v>
      </c>
      <c r="C215" t="str">
        <v>Gross</v>
      </c>
      <c r="D215" t="str">
        <v>End of life definition</v>
      </c>
      <c r="E215" t="str">
        <v>ratio of gross</v>
      </c>
      <c r="F215">
        <v>0.8</v>
      </c>
      <c r="G215">
        <v>0.8</v>
      </c>
      <c r="H215">
        <v>0.8</v>
      </c>
      <c r="I215">
        <v>0.8</v>
      </c>
      <c r="J215">
        <v>0.8</v>
      </c>
      <c r="K215">
        <v>0.8</v>
      </c>
      <c r="L215">
        <v>0.8</v>
      </c>
      <c r="M215" t="s">
        <v>354</v>
      </c>
      <c r="N215" s="163" t="str">
        <f>IF(C215="",IF(B214="","","} ")&amp;IF(B216="","","public class "&amp;B215&amp;" {"),"public ParameterTimeSeries&lt;"&amp;M215&amp;"&gt; "&amp;A215&amp;" { get; } = new ParameterTimeSeries&lt;"&amp;M215&amp;"&gt; { "&amp;_xlfn.TEXTJOIN("f, ",TRUE,F215:L215)&amp;"f };")</f>
        <v>public ParameterTimeSeries&lt;Dimensionless&gt; Gross_End_of_life_definition_ratio_of_gross { get; } = new ParameterTimeSeries&lt;Dimensionless&gt; { 0.8f, 0.8f, 0.8f, 0.8f, 0.8f, 0.8f, 0.8f };</v>
      </c>
    </row>
    <row r="216" spans="1:14" x14ac:dyDescent="0.35">
      <c r="A216" t="str">
        <v>Net_End_of_life_definition_ratio_of_net</v>
      </c>
      <c r="B216" t="str">
        <v>Battery</v>
      </c>
      <c r="C216" t="str">
        <v>Net</v>
      </c>
      <c r="D216" t="str">
        <v>End of life definition</v>
      </c>
      <c r="E216" t="str">
        <v>ratio of net</v>
      </c>
      <c r="F216">
        <v>0.8</v>
      </c>
      <c r="G216">
        <v>0.8</v>
      </c>
      <c r="H216">
        <v>0.8</v>
      </c>
      <c r="I216">
        <v>0.8</v>
      </c>
      <c r="J216">
        <v>0.8</v>
      </c>
      <c r="K216">
        <v>0.8</v>
      </c>
      <c r="L216">
        <v>0.8</v>
      </c>
      <c r="M216" t="s">
        <v>354</v>
      </c>
      <c r="N216" s="163" t="str">
        <f t="shared" si="3"/>
        <v>public ParameterTimeSeries&lt;Dimensionless&gt; Net_End_of_life_definition_ratio_of_net { get; } = new ParameterTimeSeries&lt;Dimensionless&gt; { 0.8f, 0.8f, 0.8f, 0.8f, 0.8f, 0.8f, 0.8f };</v>
      </c>
    </row>
    <row r="217" spans="1:14" x14ac:dyDescent="0.35">
      <c r="A217" t="str">
        <v>Net_Calendar_lifetime_years</v>
      </c>
      <c r="B217" t="str">
        <v>Battery</v>
      </c>
      <c r="C217" t="str">
        <v>Net</v>
      </c>
      <c r="D217" t="str">
        <v>Calendar lifetime</v>
      </c>
      <c r="E217" t="str">
        <v>years</v>
      </c>
      <c r="F217">
        <v>20.76923076923077</v>
      </c>
      <c r="G217">
        <v>18</v>
      </c>
      <c r="H217">
        <v>17.753424657534246</v>
      </c>
      <c r="I217">
        <v>18.352941176470587</v>
      </c>
      <c r="J217">
        <v>19.32268370607029</v>
      </c>
      <c r="K217">
        <v>20.473933649289101</v>
      </c>
      <c r="L217">
        <v>21.718774548311078</v>
      </c>
      <c r="M217" t="s">
        <v>350</v>
      </c>
      <c r="N217" s="163" t="str">
        <f t="shared" si="3"/>
        <v>public ParameterTimeSeries&lt;Years&gt; Net_Calendar_lifetime_years { get; } = new ParameterTimeSeries&lt;Years&gt; { 20.7692307692308f, 18f, 17.7534246575342f, 18.3529411764706f, 19.3226837060703f, 20.4739336492891f, 21.7187745483111f };</v>
      </c>
    </row>
    <row r="218" spans="1:14" x14ac:dyDescent="0.35">
      <c r="A218" t="str">
        <v>Net_Cycle_lifetime_cycles</v>
      </c>
      <c r="B218" t="str">
        <v>Battery</v>
      </c>
      <c r="C218" t="str">
        <v>Net</v>
      </c>
      <c r="D218" t="str">
        <v>Cycle lifetime</v>
      </c>
      <c r="E218" t="str">
        <v>cycles</v>
      </c>
      <c r="F218">
        <v>2307.6923076923076</v>
      </c>
      <c r="G218">
        <v>2433.1374138181827</v>
      </c>
      <c r="H218">
        <v>2943.8592271937346</v>
      </c>
      <c r="I218">
        <v>3759.3069695681452</v>
      </c>
      <c r="J218">
        <v>4918.290820006926</v>
      </c>
      <c r="K218">
        <v>6508.9982479522141</v>
      </c>
      <c r="L218">
        <v>8662.6104100498542</v>
      </c>
      <c r="M218" t="s">
        <v>354</v>
      </c>
      <c r="N218" s="163" t="str">
        <f t="shared" si="3"/>
        <v>public ParameterTimeSeries&lt;Dimensionless&gt; Net_Cycle_lifetime_cycles { get; } = new ParameterTimeSeries&lt;Dimensionless&gt; { 2307.69230769231f, 2433.13741381818f, 2943.85922719373f, 3759.30696956815f, 4918.29082000693f, 6508.99824795221f, 8662.61041004985f };</v>
      </c>
    </row>
    <row r="219" spans="1:14" x14ac:dyDescent="0.35">
      <c r="A219" t="str">
        <v>Net_Reference_charging_rate_c</v>
      </c>
      <c r="B219" t="str">
        <v>Battery</v>
      </c>
      <c r="C219" t="str">
        <v>Net</v>
      </c>
      <c r="D219" t="str">
        <v>Reference charging rate</v>
      </c>
      <c r="E219" t="str">
        <v>c</v>
      </c>
      <c r="F219">
        <v>1.5384615384615383</v>
      </c>
      <c r="G219">
        <v>1.4747307907878793</v>
      </c>
      <c r="H219">
        <v>1.6221855177187341</v>
      </c>
      <c r="I219">
        <v>1.8833396136020049</v>
      </c>
      <c r="J219">
        <v>2.2401258970309743</v>
      </c>
      <c r="K219">
        <v>2.6953163541105076</v>
      </c>
      <c r="L219">
        <v>3.2612323745760063</v>
      </c>
      <c r="M219" t="s">
        <v>366</v>
      </c>
      <c r="N219" s="163" t="str">
        <f t="shared" si="3"/>
        <v>public ParameterTimeSeries&lt;CRate&gt; Net_Reference_charging_rate_c { get; } = new ParameterTimeSeries&lt;CRate&gt; { 1.53846153846154f, 1.47473079078788f, 1.62218551771873f, 1.883339613602f, 2.24012589703097f, 2.69531635411051f, 3.26123237457601f };</v>
      </c>
    </row>
    <row r="220" spans="1:14" x14ac:dyDescent="0.35">
      <c r="A220" t="str">
        <v>Net_Reference_discharging_rate_c</v>
      </c>
      <c r="B220" t="str">
        <v>Battery</v>
      </c>
      <c r="C220" t="str">
        <v>Net</v>
      </c>
      <c r="D220" t="str">
        <v>Reference discharging rate</v>
      </c>
      <c r="E220" t="str">
        <v>c</v>
      </c>
      <c r="F220">
        <v>2.3076923076923075</v>
      </c>
      <c r="G220">
        <v>2.2120961861818191</v>
      </c>
      <c r="H220">
        <v>2.4332782765781009</v>
      </c>
      <c r="I220">
        <v>2.8250094204030076</v>
      </c>
      <c r="J220">
        <v>3.3601888455464617</v>
      </c>
      <c r="K220">
        <v>4.0429745311657621</v>
      </c>
      <c r="L220">
        <v>4.89184856186401</v>
      </c>
      <c r="M220" t="s">
        <v>366</v>
      </c>
      <c r="N220" s="163" t="str">
        <f t="shared" si="3"/>
        <v>public ParameterTimeSeries&lt;CRate&gt; Net_Reference_discharging_rate_c { get; } = new ParameterTimeSeries&lt;CRate&gt; { 2.30769230769231f, 2.21209618618182f, 2.4332782765781f, 2.82500942040301f, 3.36018884554646f, 4.04297453116576f, 4.89184856186401f };</v>
      </c>
    </row>
    <row r="221" spans="1:14" x14ac:dyDescent="0.35">
      <c r="A221" t="str">
        <v>Net_Max_permitted_charging_rate_c</v>
      </c>
      <c r="B221" t="str">
        <v>Battery</v>
      </c>
      <c r="C221" t="str">
        <v>Net</v>
      </c>
      <c r="D221" t="str">
        <v>Max permitted charging rate</v>
      </c>
      <c r="E221" t="str">
        <v>c</v>
      </c>
      <c r="F221">
        <v>2.3076923076923075</v>
      </c>
      <c r="G221">
        <v>2.2120961861818191</v>
      </c>
      <c r="H221">
        <v>2.4332782765781009</v>
      </c>
      <c r="I221">
        <v>2.8250094204030072</v>
      </c>
      <c r="J221">
        <v>3.3601888455464612</v>
      </c>
      <c r="K221">
        <v>4.0429745311657612</v>
      </c>
      <c r="L221">
        <v>4.8918485618640091</v>
      </c>
      <c r="M221" t="s">
        <v>366</v>
      </c>
      <c r="N221" s="163" t="str">
        <f t="shared" si="3"/>
        <v>public ParameterTimeSeries&lt;CRate&gt; Net_Max_permitted_charging_rate_c { get; } = new ParameterTimeSeries&lt;CRate&gt; { 2.30769230769231f, 2.21209618618182f, 2.4332782765781f, 2.82500942040301f, 3.36018884554646f, 4.04297453116576f, 4.89184856186401f };</v>
      </c>
    </row>
    <row r="222" spans="1:14" x14ac:dyDescent="0.35">
      <c r="A222" t="str">
        <v>Net_Max_permitted_discharging_rate_c</v>
      </c>
      <c r="B222" t="str">
        <v>Battery</v>
      </c>
      <c r="C222" t="str">
        <v>Net</v>
      </c>
      <c r="D222" t="str">
        <v>Max permitted discharging rate</v>
      </c>
      <c r="E222" t="str">
        <v>c</v>
      </c>
      <c r="F222">
        <v>3.4615384615384612</v>
      </c>
      <c r="G222">
        <v>3.3181442792727283</v>
      </c>
      <c r="H222">
        <v>3.649917414867152</v>
      </c>
      <c r="I222">
        <v>4.2375141306045112</v>
      </c>
      <c r="J222">
        <v>5.0402832683196923</v>
      </c>
      <c r="K222">
        <v>6.0644617967486427</v>
      </c>
      <c r="L222">
        <v>7.3377728427960154</v>
      </c>
      <c r="M222" t="s">
        <v>366</v>
      </c>
      <c r="N222" s="163" t="str">
        <f t="shared" si="3"/>
        <v>public ParameterTimeSeries&lt;CRate&gt; Net_Max_permitted_discharging_rate_c { get; } = new ParameterTimeSeries&lt;CRate&gt; { 3.46153846153846f, 3.31814427927273f, 3.64991741486715f, 4.23751413060451f, 5.04028326831969f, 6.06446179674864f, 7.33777284279602f };</v>
      </c>
    </row>
    <row r="223" spans="1:14" x14ac:dyDescent="0.35">
      <c r="A223" t="str">
        <v>Net_Specific_energy_kWh_per_kg</v>
      </c>
      <c r="B223" t="str">
        <v>Battery</v>
      </c>
      <c r="C223" t="str">
        <v>Net</v>
      </c>
      <c r="D223" t="str">
        <v>Specific energy</v>
      </c>
      <c r="E223" t="str">
        <v>kWh per kg</v>
      </c>
      <c r="F223">
        <v>0.13</v>
      </c>
      <c r="G223">
        <v>0.19128022225949998</v>
      </c>
      <c r="H223">
        <v>0.2452647392303022</v>
      </c>
      <c r="I223">
        <v>0.29796126842489612</v>
      </c>
      <c r="J223">
        <v>0.3533205102822039</v>
      </c>
      <c r="K223">
        <v>0.41417544670972406</v>
      </c>
      <c r="L223">
        <v>0.482797675910068</v>
      </c>
      <c r="M223" t="s">
        <v>367</v>
      </c>
      <c r="N223" s="163" t="str">
        <f t="shared" si="3"/>
        <v>public ParameterTimeSeries&lt;KiloWattHoursPerKilogram&gt; Net_Specific_energy_kWh_per_kg { get; } = new ParameterTimeSeries&lt;KiloWattHoursPerKilogram&gt; { 0.13f, 0.1912802222595f, 0.245264739230302f, 0.297961268424896f, 0.353320510282204f, 0.414175446709724f, 0.482797675910068f };</v>
      </c>
    </row>
    <row r="224" spans="1:14" x14ac:dyDescent="0.35">
      <c r="A224" t="str">
        <v>Net_Energy_density_kWh_per_liter</v>
      </c>
      <c r="B224" t="str">
        <v>Battery</v>
      </c>
      <c r="C224" t="str">
        <v>Net</v>
      </c>
      <c r="D224" t="str">
        <v>Energy density</v>
      </c>
      <c r="E224" t="str">
        <v>kWh per liter</v>
      </c>
      <c r="F224">
        <v>0.32500000000000001</v>
      </c>
      <c r="G224">
        <v>0.47820055564874991</v>
      </c>
      <c r="H224">
        <v>0.61316184807575547</v>
      </c>
      <c r="I224">
        <v>0.74490317106224035</v>
      </c>
      <c r="J224">
        <v>0.88330127570550976</v>
      </c>
      <c r="K224">
        <v>1.0354386167743101</v>
      </c>
      <c r="L224">
        <v>1.2069941897751699</v>
      </c>
      <c r="M224" t="s">
        <v>361</v>
      </c>
      <c r="N224" s="163" t="str">
        <f t="shared" si="3"/>
        <v>public ParameterTimeSeries&lt;KiloWattHoursPerLiter&gt; Net_Energy_density_kWh_per_liter { get; } = new ParameterTimeSeries&lt;KiloWattHoursPerLiter&gt; { 0.325f, 0.47820055564875f, 0.613161848075755f, 0.74490317106224f, 0.88330127570551f, 1.03543861677431f, 1.20699418977517f };</v>
      </c>
    </row>
    <row r="225" spans="1:14" x14ac:dyDescent="0.35">
      <c r="A225" t="str">
        <v>Net_Pack_cost_euro_per_kWh</v>
      </c>
      <c r="B225" t="str">
        <v>Battery</v>
      </c>
      <c r="C225" t="str">
        <v>Net</v>
      </c>
      <c r="D225" t="str">
        <v>Pack cost</v>
      </c>
      <c r="E225" t="str">
        <v>€ per kWh</v>
      </c>
      <c r="F225">
        <v>415.38461538461536</v>
      </c>
      <c r="G225">
        <v>249.86298833454543</v>
      </c>
      <c r="H225">
        <v>174.5398656249599</v>
      </c>
      <c r="I225">
        <v>130.58303968870442</v>
      </c>
      <c r="J225">
        <v>101.85354414982829</v>
      </c>
      <c r="K225">
        <v>81.995256062719776</v>
      </c>
      <c r="L225">
        <v>67.872523342026255</v>
      </c>
      <c r="M225" t="s">
        <v>365</v>
      </c>
      <c r="N225" s="163" t="str">
        <f t="shared" si="3"/>
        <v>public ParameterTimeSeries&lt;EuroPerKiloWattHour&gt; Net_Pack_cost_euro_per_kWh { get; } = new ParameterTimeSeries&lt;EuroPerKiloWattHour&gt; { 415.384615384615f, 249.862988334545f, 174.53986562496f, 130.583039688704f, 101.853544149828f, 81.9952560627198f, 67.8725233420263f };</v>
      </c>
    </row>
    <row r="226" spans="1:14" x14ac:dyDescent="0.35">
      <c r="A226" t="str">
        <v>Net_Production_emissions_kg_CO2_per_kWh</v>
      </c>
      <c r="B226" t="str">
        <v>Battery</v>
      </c>
      <c r="C226" t="str">
        <v>Net</v>
      </c>
      <c r="D226" t="str">
        <v>Production emissions</v>
      </c>
      <c r="E226" t="str">
        <v>kg CO₂ per kWh</v>
      </c>
      <c r="F226">
        <v>230.76923076923077</v>
      </c>
      <c r="G226">
        <v>119.83300421818184</v>
      </c>
      <c r="H226">
        <v>71.406321242240921</v>
      </c>
      <c r="I226">
        <v>44.909396716894911</v>
      </c>
      <c r="J226">
        <v>28.936996165540702</v>
      </c>
      <c r="K226">
        <v>18.860934491343325</v>
      </c>
      <c r="L226">
        <v>12.362538167202633</v>
      </c>
      <c r="M226" t="s">
        <v>362</v>
      </c>
      <c r="N226" s="163" t="str">
        <f t="shared" si="3"/>
        <v>public ParameterTimeSeries&lt;KilogramPerKiloWattHour&gt; Net_Production_emissions_kg_CO2_per_kWh { get; } = new ParameterTimeSeries&lt;KilogramPerKiloWattHour&gt; { 230.769230769231f, 119.833004218182f, 71.4063212422409f, 44.9093967168949f, 28.9369961655407f, 18.8609344913433f, 12.3625381672026f };</v>
      </c>
    </row>
    <row r="227" spans="1:14" x14ac:dyDescent="0.35">
      <c r="A227" t="str">
        <v>_</v>
      </c>
      <c r="N227" s="163" t="str">
        <f t="shared" si="3"/>
        <v xml:space="preserve">} </v>
      </c>
    </row>
    <row r="228" spans="1:14" x14ac:dyDescent="0.35">
      <c r="A228" t="str">
        <v>_</v>
      </c>
      <c r="N228" t="str">
        <f t="shared" si="3"/>
        <v/>
      </c>
    </row>
    <row r="229" spans="1:14" x14ac:dyDescent="0.35">
      <c r="A229" t="str">
        <v>_</v>
      </c>
      <c r="N229" t="str">
        <f t="shared" si="3"/>
        <v/>
      </c>
    </row>
    <row r="230" spans="1:14" x14ac:dyDescent="0.35">
      <c r="A230" t="str">
        <v>_</v>
      </c>
      <c r="N230" t="str">
        <f t="shared" ref="N230:N260" si="4">IF(C230="",IF(B229="","","} ")&amp;IF(B231="","","public class "&amp;B230&amp;" {"),"public ParameterTimeSeries&lt;"&amp;M230&amp;"&gt; "&amp;A230&amp;" { get; } = new ParameterTimeSeries&lt;"&amp;M230&amp;"&gt; { "&amp;_xlfn.TEXTJOIN("f, ",TRUE,F230:L230)&amp;"f };")</f>
        <v/>
      </c>
    </row>
    <row r="231" spans="1:14" x14ac:dyDescent="0.35">
      <c r="A231" t="str">
        <v>_</v>
      </c>
      <c r="N231" t="str">
        <f t="shared" si="4"/>
        <v/>
      </c>
    </row>
    <row r="232" spans="1:14" x14ac:dyDescent="0.35">
      <c r="A232" t="str">
        <v>_</v>
      </c>
      <c r="N232" t="str">
        <f t="shared" si="4"/>
        <v/>
      </c>
    </row>
    <row r="233" spans="1:14" x14ac:dyDescent="0.35">
      <c r="A233" t="str">
        <v>_</v>
      </c>
      <c r="N233" t="str">
        <f t="shared" si="4"/>
        <v/>
      </c>
    </row>
    <row r="234" spans="1:14" x14ac:dyDescent="0.35">
      <c r="A234" t="str">
        <v>_</v>
      </c>
      <c r="N234" t="str">
        <f t="shared" si="4"/>
        <v/>
      </c>
    </row>
    <row r="235" spans="1:14" x14ac:dyDescent="0.35">
      <c r="A235" t="str">
        <v>_</v>
      </c>
      <c r="N235" t="str">
        <f t="shared" si="4"/>
        <v/>
      </c>
    </row>
    <row r="236" spans="1:14" x14ac:dyDescent="0.35">
      <c r="A236" t="str">
        <v>_</v>
      </c>
      <c r="N236" t="str">
        <f t="shared" si="4"/>
        <v/>
      </c>
    </row>
    <row r="237" spans="1:14" x14ac:dyDescent="0.35">
      <c r="A237" t="str">
        <v>_</v>
      </c>
      <c r="N237" t="str">
        <f t="shared" si="4"/>
        <v/>
      </c>
    </row>
    <row r="238" spans="1:14" x14ac:dyDescent="0.35">
      <c r="A238" t="str">
        <v>_</v>
      </c>
      <c r="N238" t="str">
        <f t="shared" si="4"/>
        <v/>
      </c>
    </row>
    <row r="239" spans="1:14" x14ac:dyDescent="0.35">
      <c r="A239" t="str">
        <v>_</v>
      </c>
      <c r="N239" t="str">
        <f t="shared" si="4"/>
        <v/>
      </c>
    </row>
    <row r="240" spans="1:14" x14ac:dyDescent="0.35">
      <c r="A240" t="str">
        <v>_</v>
      </c>
      <c r="N240" t="str">
        <f t="shared" si="4"/>
        <v/>
      </c>
    </row>
    <row r="241" spans="1:14" x14ac:dyDescent="0.35">
      <c r="A241" t="str">
        <v>_</v>
      </c>
      <c r="N241" t="str">
        <f t="shared" si="4"/>
        <v/>
      </c>
    </row>
    <row r="242" spans="1:14" x14ac:dyDescent="0.35">
      <c r="A242" t="str">
        <v>_</v>
      </c>
      <c r="N242" t="str">
        <f t="shared" si="4"/>
        <v/>
      </c>
    </row>
    <row r="243" spans="1:14" x14ac:dyDescent="0.35">
      <c r="A243" t="str">
        <v>_</v>
      </c>
      <c r="N243" t="str">
        <f t="shared" si="4"/>
        <v/>
      </c>
    </row>
    <row r="244" spans="1:14" x14ac:dyDescent="0.35">
      <c r="A244" t="str">
        <v>_</v>
      </c>
      <c r="N244" t="str">
        <f t="shared" si="4"/>
        <v/>
      </c>
    </row>
    <row r="245" spans="1:14" x14ac:dyDescent="0.35">
      <c r="A245" t="str">
        <v>_</v>
      </c>
      <c r="N245" t="str">
        <f t="shared" si="4"/>
        <v/>
      </c>
    </row>
    <row r="246" spans="1:14" x14ac:dyDescent="0.35">
      <c r="A246" t="str">
        <v>_</v>
      </c>
      <c r="N246" t="str">
        <f t="shared" si="4"/>
        <v/>
      </c>
    </row>
    <row r="247" spans="1:14" x14ac:dyDescent="0.35">
      <c r="A247" t="str">
        <v>_</v>
      </c>
      <c r="N247" t="str">
        <f t="shared" si="4"/>
        <v/>
      </c>
    </row>
    <row r="248" spans="1:14" x14ac:dyDescent="0.35">
      <c r="A248" t="str">
        <v>_</v>
      </c>
      <c r="N248" t="str">
        <f t="shared" si="4"/>
        <v/>
      </c>
    </row>
    <row r="249" spans="1:14" x14ac:dyDescent="0.35">
      <c r="A249" t="str">
        <v>_</v>
      </c>
      <c r="N249" t="str">
        <f t="shared" si="4"/>
        <v/>
      </c>
    </row>
    <row r="250" spans="1:14" x14ac:dyDescent="0.35">
      <c r="A250" t="str">
        <v>_</v>
      </c>
      <c r="N250" t="str">
        <f t="shared" si="4"/>
        <v/>
      </c>
    </row>
    <row r="251" spans="1:14" x14ac:dyDescent="0.35">
      <c r="A251" t="str">
        <v>_</v>
      </c>
      <c r="N251" t="str">
        <f t="shared" si="4"/>
        <v/>
      </c>
    </row>
    <row r="252" spans="1:14" x14ac:dyDescent="0.35">
      <c r="A252" t="str">
        <v>_</v>
      </c>
      <c r="N252" t="str">
        <f t="shared" si="4"/>
        <v/>
      </c>
    </row>
    <row r="253" spans="1:14" x14ac:dyDescent="0.35">
      <c r="A253" t="str">
        <v>_</v>
      </c>
      <c r="N253" t="str">
        <f t="shared" si="4"/>
        <v/>
      </c>
    </row>
    <row r="254" spans="1:14" x14ac:dyDescent="0.35">
      <c r="A254" t="str">
        <v>_</v>
      </c>
      <c r="N254" t="str">
        <f t="shared" si="4"/>
        <v/>
      </c>
    </row>
    <row r="255" spans="1:14" x14ac:dyDescent="0.35">
      <c r="A255" t="str">
        <v>_</v>
      </c>
      <c r="N255" t="str">
        <f t="shared" si="4"/>
        <v/>
      </c>
    </row>
    <row r="256" spans="1:14" x14ac:dyDescent="0.35">
      <c r="A256" t="str">
        <v>_</v>
      </c>
      <c r="N256" t="str">
        <f t="shared" si="4"/>
        <v/>
      </c>
    </row>
    <row r="257" spans="1:14" x14ac:dyDescent="0.35">
      <c r="A257" t="str">
        <v>_</v>
      </c>
      <c r="N257" t="str">
        <f t="shared" si="4"/>
        <v/>
      </c>
    </row>
    <row r="258" spans="1:14" x14ac:dyDescent="0.35">
      <c r="A258" t="str">
        <v>_</v>
      </c>
      <c r="N258" t="str">
        <f t="shared" si="4"/>
        <v/>
      </c>
    </row>
    <row r="259" spans="1:14" x14ac:dyDescent="0.35">
      <c r="A259" t="str">
        <v>_</v>
      </c>
      <c r="N259" t="str">
        <f t="shared" si="4"/>
        <v/>
      </c>
    </row>
    <row r="260" spans="1:14" x14ac:dyDescent="0.35">
      <c r="A260" t="str">
        <v>_</v>
      </c>
      <c r="N260" t="str">
        <f t="shared" si="4"/>
        <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B16D-F18D-4B45-872B-CD07D64DC43C}">
  <dimension ref="A1:AB115"/>
  <sheetViews>
    <sheetView workbookViewId="0">
      <selection activeCell="X32" sqref="X32"/>
    </sheetView>
  </sheetViews>
  <sheetFormatPr defaultColWidth="8.81640625" defaultRowHeight="13" x14ac:dyDescent="0.3"/>
  <cols>
    <col min="1" max="1" width="28.81640625" style="140" bestFit="1" customWidth="1"/>
    <col min="2" max="2" width="8.81640625" style="140"/>
    <col min="3" max="14" width="5.6328125" style="140" customWidth="1"/>
    <col min="15" max="37" width="4.6328125" style="140" customWidth="1"/>
    <col min="38" max="16384" width="8.81640625" style="140"/>
  </cols>
  <sheetData>
    <row r="1" spans="1:28" x14ac:dyDescent="0.3">
      <c r="A1" s="140" t="s">
        <v>78</v>
      </c>
      <c r="C1" s="140" cm="1">
        <f t="array" ref="C1:I1">batteries!E1:K1</f>
        <v>2020</v>
      </c>
      <c r="D1" s="140">
        <v>2025</v>
      </c>
      <c r="E1" s="140">
        <v>2030</v>
      </c>
      <c r="F1" s="140">
        <v>2035</v>
      </c>
      <c r="G1" s="140">
        <v>2040</v>
      </c>
      <c r="H1" s="140">
        <v>2045</v>
      </c>
      <c r="I1" s="140">
        <v>2050</v>
      </c>
    </row>
    <row r="2" spans="1:28" x14ac:dyDescent="0.3">
      <c r="A2" s="140" t="s">
        <v>3</v>
      </c>
      <c r="B2" s="140" t="s">
        <v>4</v>
      </c>
      <c r="C2" s="143" cm="1">
        <f t="array" ref="C2:I2">_xlfn.ANCHORARRAY(batteries!E15)</f>
        <v>20.76923076923077</v>
      </c>
      <c r="D2" s="140">
        <v>18</v>
      </c>
      <c r="E2" s="140">
        <v>17.753424657534246</v>
      </c>
      <c r="F2" s="140">
        <v>18.352941176470587</v>
      </c>
      <c r="G2" s="140">
        <v>19.32268370607029</v>
      </c>
      <c r="H2" s="140">
        <v>20.473933649289101</v>
      </c>
      <c r="I2" s="140">
        <v>21.718774548311078</v>
      </c>
    </row>
    <row r="3" spans="1:28" x14ac:dyDescent="0.3">
      <c r="A3" s="140" t="str" cm="1">
        <f t="array" ref="A3:I3">batteries!C4:K4</f>
        <v>Cycle lifetime</v>
      </c>
      <c r="B3" s="140" t="str">
        <v>cycles</v>
      </c>
      <c r="C3" s="140">
        <v>1500</v>
      </c>
      <c r="D3" s="140">
        <v>2007.3383664000007</v>
      </c>
      <c r="E3" s="140">
        <v>2686.2715448142826</v>
      </c>
      <c r="F3" s="140">
        <v>3594.8372896495389</v>
      </c>
      <c r="G3" s="140">
        <v>4810.7032083192744</v>
      </c>
      <c r="H3" s="140">
        <v>6437.8060796152367</v>
      </c>
      <c r="I3" s="140">
        <v>8615.2367593698946</v>
      </c>
    </row>
    <row r="4" spans="1:28" x14ac:dyDescent="0.3">
      <c r="A4" s="140" t="str" cm="1">
        <f t="array" ref="A4:I4">batteries!C19:K19</f>
        <v>Max permitted charging rate</v>
      </c>
      <c r="B4" s="140" t="str">
        <v>c</v>
      </c>
      <c r="C4" s="140">
        <v>2.3076923076923075</v>
      </c>
      <c r="D4" s="140">
        <v>2.2120961861818191</v>
      </c>
      <c r="E4" s="140">
        <v>2.4332782765781009</v>
      </c>
      <c r="F4" s="140">
        <v>2.8250094204030072</v>
      </c>
      <c r="G4" s="140">
        <v>3.3601888455464612</v>
      </c>
      <c r="H4" s="140">
        <v>4.0429745311657612</v>
      </c>
      <c r="I4" s="140">
        <v>4.8918485618640091</v>
      </c>
    </row>
    <row r="5" spans="1:28" x14ac:dyDescent="0.3">
      <c r="A5" s="140" t="str" cm="1">
        <f t="array" ref="A5:I5">batteries!C17:K17</f>
        <v>Reference charging rate</v>
      </c>
      <c r="B5" s="140" t="str">
        <v>c</v>
      </c>
      <c r="C5" s="140">
        <v>1.5384615384615383</v>
      </c>
      <c r="D5" s="140">
        <v>1.4747307907878793</v>
      </c>
      <c r="E5" s="140">
        <v>1.6221855177187341</v>
      </c>
      <c r="F5" s="140">
        <v>1.8833396136020049</v>
      </c>
      <c r="G5" s="140">
        <v>2.2401258970309743</v>
      </c>
      <c r="H5" s="140">
        <v>2.6953163541105076</v>
      </c>
      <c r="I5" s="140">
        <v>3.2612323745760063</v>
      </c>
    </row>
    <row r="7" spans="1:28" x14ac:dyDescent="0.3">
      <c r="C7" s="140" cm="1">
        <f t="array" ref="C7:I7">vehicles!E83:K83</f>
        <v>2020</v>
      </c>
      <c r="D7" s="140">
        <v>2025</v>
      </c>
      <c r="E7" s="140">
        <v>2030</v>
      </c>
      <c r="F7" s="140">
        <v>2035</v>
      </c>
      <c r="G7" s="140">
        <v>2040</v>
      </c>
      <c r="H7" s="140">
        <v>2045</v>
      </c>
      <c r="I7" s="140">
        <v>2050</v>
      </c>
    </row>
    <row r="8" spans="1:28" x14ac:dyDescent="0.3">
      <c r="A8" s="140" t="s">
        <v>331</v>
      </c>
      <c r="B8" s="140" t="s">
        <v>49</v>
      </c>
      <c r="C8" s="140">
        <v>250</v>
      </c>
      <c r="D8" s="140">
        <v>250</v>
      </c>
      <c r="E8" s="140">
        <v>250</v>
      </c>
      <c r="F8" s="140">
        <v>250</v>
      </c>
      <c r="G8" s="140">
        <v>250</v>
      </c>
      <c r="H8" s="140">
        <v>250</v>
      </c>
      <c r="I8" s="140">
        <v>250</v>
      </c>
    </row>
    <row r="9" spans="1:28" x14ac:dyDescent="0.3">
      <c r="A9" s="140" t="s">
        <v>50</v>
      </c>
      <c r="B9" s="140" t="s">
        <v>332</v>
      </c>
      <c r="C9" s="141" cm="1">
        <f t="array" ref="C9:I9">vehicles!E106:K106</f>
        <v>1.1242075764705881</v>
      </c>
      <c r="D9" s="140">
        <v>1.0908836428917581</v>
      </c>
      <c r="E9" s="140">
        <v>1.0585475024682212</v>
      </c>
      <c r="F9" s="140">
        <v>1.0271698748836142</v>
      </c>
      <c r="G9" s="140">
        <v>0.99672234775320778</v>
      </c>
      <c r="H9" s="140">
        <v>0.96717735089654189</v>
      </c>
      <c r="I9" s="140">
        <v>0.93850813137267908</v>
      </c>
    </row>
    <row r="10" spans="1:28" x14ac:dyDescent="0.3">
      <c r="A10" s="140" t="s">
        <v>22</v>
      </c>
      <c r="B10" s="140" t="s">
        <v>23</v>
      </c>
      <c r="C10" s="140" cm="1">
        <f t="array" ref="C10:I10">vehicles!E84:K84</f>
        <v>115000</v>
      </c>
      <c r="D10" s="140">
        <v>115000</v>
      </c>
      <c r="E10" s="140">
        <v>115000</v>
      </c>
      <c r="F10" s="140">
        <v>115000</v>
      </c>
      <c r="G10" s="140">
        <v>115000</v>
      </c>
      <c r="H10" s="140">
        <v>115000</v>
      </c>
      <c r="I10" s="140">
        <v>115000</v>
      </c>
    </row>
    <row r="11" spans="1:28" x14ac:dyDescent="0.3">
      <c r="B11" s="140" t="s">
        <v>333</v>
      </c>
      <c r="C11" s="140" cm="1">
        <f t="array" ref="C11:I11">_xlfn.ANCHORARRAY(C10)*_xlfn.ANCHORARRAY(C9)/C8:I8</f>
        <v>517.13548517647052</v>
      </c>
      <c r="D11" s="140">
        <v>501.80647573020872</v>
      </c>
      <c r="E11" s="140">
        <v>486.93185113538175</v>
      </c>
      <c r="F11" s="140">
        <v>472.49814244646251</v>
      </c>
      <c r="G11" s="140">
        <v>458.49227996647556</v>
      </c>
      <c r="H11" s="140">
        <v>444.90158141240926</v>
      </c>
      <c r="I11" s="140">
        <v>431.71374043143237</v>
      </c>
    </row>
    <row r="12" spans="1:28" x14ac:dyDescent="0.3">
      <c r="B12" s="140" t="s">
        <v>334</v>
      </c>
      <c r="C12" s="199" cm="1">
        <f t="array" ref="C12:I12">1/(_xlfn.ANCHORARRAY(C2)*_xlfn.ANCHORARRAY(C11))</f>
        <v>9.3105481113363881E-5</v>
      </c>
      <c r="D12" s="199">
        <v>1.1071111721847218E-4</v>
      </c>
      <c r="E12" s="199">
        <v>1.1567770800470086E-4</v>
      </c>
      <c r="F12" s="199">
        <v>1.1531723533358288E-4</v>
      </c>
      <c r="G12" s="199">
        <v>1.1287571844487674E-4</v>
      </c>
      <c r="H12" s="199">
        <v>1.0978291521808978E-4</v>
      </c>
      <c r="I12" s="199">
        <v>1.0665195270345766E-4</v>
      </c>
    </row>
    <row r="14" spans="1:28" x14ac:dyDescent="0.3">
      <c r="B14" s="140" t="s">
        <v>78</v>
      </c>
      <c r="C14" s="140">
        <v>2020</v>
      </c>
      <c r="D14" s="140">
        <v>2020</v>
      </c>
      <c r="E14" s="140">
        <v>2020</v>
      </c>
      <c r="F14" s="140">
        <v>2030</v>
      </c>
      <c r="G14" s="140">
        <v>2030</v>
      </c>
      <c r="H14" s="140">
        <v>2030</v>
      </c>
      <c r="I14" s="140">
        <v>2040</v>
      </c>
      <c r="J14" s="140">
        <v>2040</v>
      </c>
      <c r="K14" s="140">
        <v>2040</v>
      </c>
      <c r="L14" s="140">
        <v>2050</v>
      </c>
      <c r="M14" s="140">
        <v>2050</v>
      </c>
      <c r="N14" s="140">
        <v>2050</v>
      </c>
    </row>
    <row r="15" spans="1:28" x14ac:dyDescent="0.3">
      <c r="B15" s="140" t="s">
        <v>330</v>
      </c>
      <c r="C15" s="140">
        <v>0.75</v>
      </c>
      <c r="D15" s="140">
        <v>1.5</v>
      </c>
      <c r="E15" s="140">
        <v>3</v>
      </c>
      <c r="F15" s="140" cm="1">
        <f t="array" ref="F15:H15">C15:E15*1.5</f>
        <v>1.125</v>
      </c>
      <c r="G15" s="140">
        <v>2.25</v>
      </c>
      <c r="H15" s="140">
        <v>4.5</v>
      </c>
      <c r="I15" s="140" cm="1">
        <f t="array" ref="I15:K15">F15:H15*1.5</f>
        <v>1.6875</v>
      </c>
      <c r="J15" s="140">
        <v>3.375</v>
      </c>
      <c r="K15" s="140">
        <v>6.75</v>
      </c>
      <c r="L15" s="140" cm="1">
        <f t="array" ref="L15:N15">I15:K15*1.5</f>
        <v>2.53125</v>
      </c>
      <c r="M15" s="140">
        <v>5.0625</v>
      </c>
      <c r="N15" s="140">
        <v>10.125</v>
      </c>
    </row>
    <row r="16" spans="1:28" x14ac:dyDescent="0.3">
      <c r="A16" s="140" t="s">
        <v>79</v>
      </c>
      <c r="B16" s="140">
        <v>100</v>
      </c>
      <c r="C16" s="200">
        <f>MAX(0,1-$B16*(MAX(0.75,POWER(C$15/$C$4,2)))/$C$3-$B16*$C$12)</f>
        <v>0.9406894518886636</v>
      </c>
      <c r="D16" s="200">
        <f t="shared" ref="D16:E31" si="0">MAX(0,1-$B16*(MAX(0.75,POWER(D$15/$C$4,2)))/$C$3-$B16*$C$12)</f>
        <v>0.9406894518886636</v>
      </c>
      <c r="E16" s="200">
        <f t="shared" si="0"/>
        <v>0.87802278522199695</v>
      </c>
      <c r="F16" s="200">
        <f>MAX(0,1-$B16*(MAX(0.75,POWER(F$15/$E$4,2)))/$E$3-$B16*$E$12)</f>
        <v>0.96051249035377395</v>
      </c>
      <c r="G16" s="200">
        <f t="shared" ref="G16:H31" si="1">MAX(0,1-$B16*(MAX(0.75,POWER(G$15/$E$4,2)))/$E$3-$B16*$E$12)</f>
        <v>0.95660260092573668</v>
      </c>
      <c r="H16" s="200">
        <f t="shared" si="1"/>
        <v>0.86111371610435694</v>
      </c>
      <c r="I16" s="200">
        <f>MAX(0,1-$B16*(MAX(0.75,POWER(I$15/$G$4,2)))/$G$3-$B16*$G$12)</f>
        <v>0.97312219181120807</v>
      </c>
      <c r="J16" s="200">
        <f t="shared" ref="J16:K31" si="2">MAX(0,1-$B16*(MAX(0.75,POWER(J$15/$G$4,2)))/$G$3-$B16*$G$12)</f>
        <v>0.96774179136493665</v>
      </c>
      <c r="K16" s="200">
        <f t="shared" si="2"/>
        <v>0.90482988099320949</v>
      </c>
      <c r="L16" s="200">
        <f>MAX(0,1-$B16*(MAX(0.75,POWER(L$15/$I$4,2)))/$I$3-$B16*$I$12)</f>
        <v>0.98062929818412248</v>
      </c>
      <c r="M16" s="200">
        <f t="shared" ref="M16:N31" si="3">MAX(0,1-$B16*(MAX(0.75,POWER(M$15/$I$4,2)))/$I$3-$B16*$I$12)</f>
        <v>0.9769034961375529</v>
      </c>
      <c r="N16" s="200">
        <f t="shared" si="3"/>
        <v>0.93960957036124892</v>
      </c>
      <c r="Q16" s="140" cm="1">
        <f t="array" ref="Q16">MAX($B16:$B115*(C16:C115&gt;0))</f>
        <v>1600</v>
      </c>
      <c r="R16" s="140" cm="1">
        <f t="array" ref="R16">MAX($B16:$B115*(D16:D115&gt;0))</f>
        <v>1600</v>
      </c>
      <c r="S16" s="140" cm="1">
        <f t="array" ref="S16">MAX($B16:$B115*(E16:E115&gt;0))</f>
        <v>800</v>
      </c>
      <c r="T16" s="142" cm="1">
        <f t="array" ref="T16">MAX($B16:$B115*(F16:F115&gt;0))</f>
        <v>2500</v>
      </c>
      <c r="U16" s="140" cm="1">
        <f t="array" ref="U16">MAX($B16:$B115*(G16:G115&gt;0))</f>
        <v>2300</v>
      </c>
      <c r="V16" s="140" cm="1">
        <f t="array" ref="V16">MAX($B16:$B115*(H16:H115&gt;0))</f>
        <v>700</v>
      </c>
      <c r="W16" s="142" cm="1">
        <f t="array" ref="W16">MAX($B16:$B115*(I16:I115&gt;0))</f>
        <v>3700</v>
      </c>
      <c r="X16" s="140" cm="1">
        <f t="array" ref="X16">MAX($B16:$B115*(J16:J115&gt;0))</f>
        <v>3000</v>
      </c>
      <c r="Y16" s="140" cm="1">
        <f t="array" ref="Y16">MAX($B16:$B115*(K16:K115&gt;0))</f>
        <v>1000</v>
      </c>
      <c r="Z16" s="142" cm="1">
        <f t="array" ref="Z16">MAX($B16:$B115*(L16:L115&gt;0))</f>
        <v>5100</v>
      </c>
      <c r="AA16" s="140" cm="1">
        <f t="array" ref="AA16">MAX($B16:$B115*(M16:M115&gt;0))</f>
        <v>4300</v>
      </c>
      <c r="AB16" s="140" cm="1">
        <f t="array" ref="AB16">MAX($B16:$B115*(N16:N115&gt;0))</f>
        <v>1600</v>
      </c>
    </row>
    <row r="17" spans="1:28" x14ac:dyDescent="0.3">
      <c r="A17" s="140" t="s">
        <v>593</v>
      </c>
      <c r="B17" s="140">
        <v>200</v>
      </c>
      <c r="C17" s="200">
        <f t="shared" ref="C17:E48" si="4">MAX(0,1-$B17*(MAX(0.75,POWER(C$15/$C$4,2)))/$C$3-$B17*$C$12)</f>
        <v>0.88137890377732719</v>
      </c>
      <c r="D17" s="200">
        <f t="shared" si="0"/>
        <v>0.88137890377732719</v>
      </c>
      <c r="E17" s="200">
        <f t="shared" si="0"/>
        <v>0.75604557044399379</v>
      </c>
      <c r="F17" s="200">
        <f t="shared" ref="F17:H48" si="5">MAX(0,1-$B17*(MAX(0.75,POWER(F$15/$E$4,2)))/$E$3-$B17*$E$12)</f>
        <v>0.92102498070754801</v>
      </c>
      <c r="G17" s="200">
        <f t="shared" si="1"/>
        <v>0.91320520185147336</v>
      </c>
      <c r="H17" s="200">
        <f t="shared" si="1"/>
        <v>0.72222743220871388</v>
      </c>
      <c r="I17" s="200">
        <f t="shared" ref="I17:K48" si="6">MAX(0,1-$B17*(MAX(0.75,POWER(I$15/$G$4,2)))/$G$3-$B17*$G$12)</f>
        <v>0.94624438362241614</v>
      </c>
      <c r="J17" s="200">
        <f t="shared" si="2"/>
        <v>0.9354835827298732</v>
      </c>
      <c r="K17" s="200">
        <f t="shared" si="2"/>
        <v>0.80965976198641909</v>
      </c>
      <c r="L17" s="200">
        <f t="shared" ref="L17:N48" si="7">MAX(0,1-$B17*(MAX(0.75,POWER(L$15/$I$4,2)))/$I$3-$B17*$I$12)</f>
        <v>0.96125859636824507</v>
      </c>
      <c r="M17" s="200">
        <f t="shared" si="3"/>
        <v>0.9538069922751059</v>
      </c>
      <c r="N17" s="200">
        <f t="shared" si="3"/>
        <v>0.87921914072249807</v>
      </c>
      <c r="Q17" s="140" cm="1">
        <f t="array" ref="Q17:S17">Q16:S16/C11</f>
        <v>3.0939667569979385</v>
      </c>
      <c r="R17" s="140">
        <v>3.0939667569979385</v>
      </c>
      <c r="S17" s="140">
        <v>1.5469833784989693</v>
      </c>
      <c r="T17" s="142" cm="1">
        <f t="array" ref="T17:V17">T16:V16/E11</f>
        <v>5.1341886840442577</v>
      </c>
      <c r="U17" s="140">
        <v>4.7234535893207168</v>
      </c>
      <c r="V17" s="140">
        <v>1.4375728315323921</v>
      </c>
      <c r="W17" s="142" cm="1">
        <f t="array" ref="W17:Y17">W16:Y16/G11</f>
        <v>8.0699286807414499</v>
      </c>
      <c r="X17" s="140">
        <v>6.5431854168173924</v>
      </c>
      <c r="Y17" s="140">
        <v>2.1810618056057973</v>
      </c>
      <c r="Z17" s="142" cm="1">
        <f t="array" ref="Z17:AB17">Z16:AB16/I11</f>
        <v>11.81338355110802</v>
      </c>
      <c r="AA17" s="140">
        <v>9.9603037783851924</v>
      </c>
      <c r="AB17" s="140">
        <v>3.7061595454456531</v>
      </c>
    </row>
    <row r="18" spans="1:28" x14ac:dyDescent="0.3">
      <c r="B18" s="140">
        <v>300</v>
      </c>
      <c r="C18" s="200">
        <f t="shared" si="4"/>
        <v>0.82206835566599079</v>
      </c>
      <c r="D18" s="200">
        <f t="shared" si="0"/>
        <v>0.82206835566599079</v>
      </c>
      <c r="E18" s="200">
        <f t="shared" si="0"/>
        <v>0.63406835566599073</v>
      </c>
      <c r="F18" s="200">
        <f t="shared" si="5"/>
        <v>0.88153747106132208</v>
      </c>
      <c r="G18" s="200">
        <f t="shared" si="1"/>
        <v>0.86980780277721004</v>
      </c>
      <c r="H18" s="200">
        <f t="shared" si="1"/>
        <v>0.58334114831307105</v>
      </c>
      <c r="I18" s="200">
        <f t="shared" si="6"/>
        <v>0.91936657543362443</v>
      </c>
      <c r="J18" s="200">
        <f t="shared" si="2"/>
        <v>0.90322537409480996</v>
      </c>
      <c r="K18" s="200">
        <f t="shared" si="2"/>
        <v>0.71448964297962869</v>
      </c>
      <c r="L18" s="200">
        <f t="shared" si="7"/>
        <v>0.94188789455236754</v>
      </c>
      <c r="M18" s="200">
        <f t="shared" si="3"/>
        <v>0.9307104884126588</v>
      </c>
      <c r="N18" s="200">
        <f t="shared" si="3"/>
        <v>0.818828711083747</v>
      </c>
    </row>
    <row r="19" spans="1:28" x14ac:dyDescent="0.3">
      <c r="B19" s="140">
        <v>400</v>
      </c>
      <c r="C19" s="200">
        <f t="shared" si="4"/>
        <v>0.7627578075546545</v>
      </c>
      <c r="D19" s="200">
        <f t="shared" si="0"/>
        <v>0.7627578075546545</v>
      </c>
      <c r="E19" s="200">
        <f t="shared" si="0"/>
        <v>0.51209114088798768</v>
      </c>
      <c r="F19" s="200">
        <f t="shared" si="5"/>
        <v>0.84204996141509614</v>
      </c>
      <c r="G19" s="200">
        <f t="shared" si="1"/>
        <v>0.82641040370294672</v>
      </c>
      <c r="H19" s="200">
        <f t="shared" si="1"/>
        <v>0.44445486441742799</v>
      </c>
      <c r="I19" s="200">
        <f t="shared" si="6"/>
        <v>0.8924887672448325</v>
      </c>
      <c r="J19" s="200">
        <f t="shared" si="2"/>
        <v>0.87096716545974651</v>
      </c>
      <c r="K19" s="200">
        <f t="shared" si="2"/>
        <v>0.61931952397283829</v>
      </c>
      <c r="L19" s="200">
        <f t="shared" si="7"/>
        <v>0.92251719273649013</v>
      </c>
      <c r="M19" s="200">
        <f t="shared" si="3"/>
        <v>0.90761398455021169</v>
      </c>
      <c r="N19" s="200">
        <f t="shared" si="3"/>
        <v>0.75843828144499603</v>
      </c>
    </row>
    <row r="20" spans="1:28" x14ac:dyDescent="0.3">
      <c r="B20" s="140">
        <v>500</v>
      </c>
      <c r="C20" s="200">
        <f t="shared" si="4"/>
        <v>0.7034472594433181</v>
      </c>
      <c r="D20" s="200">
        <f t="shared" si="0"/>
        <v>0.7034472594433181</v>
      </c>
      <c r="E20" s="200">
        <f t="shared" si="0"/>
        <v>0.39011392610998458</v>
      </c>
      <c r="F20" s="200">
        <f t="shared" si="5"/>
        <v>0.80256245176887009</v>
      </c>
      <c r="G20" s="200">
        <f t="shared" si="1"/>
        <v>0.7830130046286834</v>
      </c>
      <c r="H20" s="200">
        <f t="shared" si="1"/>
        <v>0.30556858052178493</v>
      </c>
      <c r="I20" s="200">
        <f t="shared" si="6"/>
        <v>0.86561095905604057</v>
      </c>
      <c r="J20" s="200">
        <f t="shared" si="2"/>
        <v>0.83870895682468316</v>
      </c>
      <c r="K20" s="200">
        <f t="shared" si="2"/>
        <v>0.52414940496604778</v>
      </c>
      <c r="L20" s="200">
        <f t="shared" si="7"/>
        <v>0.90314649092061261</v>
      </c>
      <c r="M20" s="200">
        <f t="shared" si="3"/>
        <v>0.88451748068776459</v>
      </c>
      <c r="N20" s="200">
        <f t="shared" si="3"/>
        <v>0.69804785180624496</v>
      </c>
    </row>
    <row r="21" spans="1:28" x14ac:dyDescent="0.3">
      <c r="B21" s="140">
        <v>600</v>
      </c>
      <c r="C21" s="200">
        <f t="shared" si="4"/>
        <v>0.64413671133198158</v>
      </c>
      <c r="D21" s="200">
        <f t="shared" si="0"/>
        <v>0.64413671133198158</v>
      </c>
      <c r="E21" s="200">
        <f t="shared" si="0"/>
        <v>0.26813671133198164</v>
      </c>
      <c r="F21" s="200">
        <f t="shared" si="5"/>
        <v>0.76307494212264415</v>
      </c>
      <c r="G21" s="200">
        <f t="shared" si="1"/>
        <v>0.73961560555442007</v>
      </c>
      <c r="H21" s="200">
        <f t="shared" si="1"/>
        <v>0.16668229662614203</v>
      </c>
      <c r="I21" s="200">
        <f t="shared" si="6"/>
        <v>0.83873315086724864</v>
      </c>
      <c r="J21" s="200">
        <f t="shared" si="2"/>
        <v>0.80645074818961981</v>
      </c>
      <c r="K21" s="200">
        <f t="shared" si="2"/>
        <v>0.42897928595925727</v>
      </c>
      <c r="L21" s="200">
        <f t="shared" si="7"/>
        <v>0.8837757891047352</v>
      </c>
      <c r="M21" s="200">
        <f t="shared" si="3"/>
        <v>0.8614209768253176</v>
      </c>
      <c r="N21" s="200">
        <f t="shared" si="3"/>
        <v>0.6376574221674941</v>
      </c>
    </row>
    <row r="22" spans="1:28" x14ac:dyDescent="0.3">
      <c r="B22" s="140">
        <v>700</v>
      </c>
      <c r="C22" s="200">
        <f t="shared" si="4"/>
        <v>0.58482616322064529</v>
      </c>
      <c r="D22" s="200">
        <f t="shared" si="0"/>
        <v>0.58482616322064529</v>
      </c>
      <c r="E22" s="200">
        <f t="shared" si="0"/>
        <v>0.14615949655397842</v>
      </c>
      <c r="F22" s="200">
        <f t="shared" si="5"/>
        <v>0.72358743247641821</v>
      </c>
      <c r="G22" s="200">
        <f t="shared" si="1"/>
        <v>0.69621820648015686</v>
      </c>
      <c r="H22" s="200">
        <f t="shared" si="1"/>
        <v>2.779601273049899E-2</v>
      </c>
      <c r="I22" s="200">
        <f t="shared" si="6"/>
        <v>0.81185534267845694</v>
      </c>
      <c r="J22" s="200">
        <f t="shared" si="2"/>
        <v>0.77419253955455636</v>
      </c>
      <c r="K22" s="200">
        <f t="shared" si="2"/>
        <v>0.33380916695246682</v>
      </c>
      <c r="L22" s="200">
        <f t="shared" si="7"/>
        <v>0.86440508728885768</v>
      </c>
      <c r="M22" s="200">
        <f t="shared" si="3"/>
        <v>0.83832447296287049</v>
      </c>
      <c r="N22" s="200">
        <f t="shared" si="3"/>
        <v>0.57726699252874314</v>
      </c>
    </row>
    <row r="23" spans="1:28" x14ac:dyDescent="0.3">
      <c r="B23" s="140">
        <v>800</v>
      </c>
      <c r="C23" s="200">
        <f t="shared" si="4"/>
        <v>0.52551561510930889</v>
      </c>
      <c r="D23" s="200">
        <f t="shared" si="0"/>
        <v>0.52551561510930889</v>
      </c>
      <c r="E23" s="200">
        <f t="shared" si="0"/>
        <v>2.4182281775975464E-2</v>
      </c>
      <c r="F23" s="200">
        <f t="shared" si="5"/>
        <v>0.68409992283019228</v>
      </c>
      <c r="G23" s="200">
        <f t="shared" si="1"/>
        <v>0.65282080740589343</v>
      </c>
      <c r="H23" s="200">
        <f t="shared" si="1"/>
        <v>0</v>
      </c>
      <c r="I23" s="200">
        <f t="shared" si="6"/>
        <v>0.78497753448966501</v>
      </c>
      <c r="J23" s="200">
        <f t="shared" si="2"/>
        <v>0.74193433091949312</v>
      </c>
      <c r="K23" s="200">
        <f t="shared" si="2"/>
        <v>0.23863904794567645</v>
      </c>
      <c r="L23" s="200">
        <f t="shared" si="7"/>
        <v>0.84503438547298027</v>
      </c>
      <c r="M23" s="200">
        <f t="shared" si="3"/>
        <v>0.8152279691004235</v>
      </c>
      <c r="N23" s="200">
        <f t="shared" si="3"/>
        <v>0.51687656288999206</v>
      </c>
    </row>
    <row r="24" spans="1:28" x14ac:dyDescent="0.3">
      <c r="B24" s="140">
        <v>900</v>
      </c>
      <c r="C24" s="200">
        <f t="shared" si="4"/>
        <v>0.46620506699797254</v>
      </c>
      <c r="D24" s="200">
        <f t="shared" si="0"/>
        <v>0.46620506699797254</v>
      </c>
      <c r="E24" s="200">
        <f t="shared" si="0"/>
        <v>0</v>
      </c>
      <c r="F24" s="200">
        <f t="shared" si="5"/>
        <v>0.64461241318396623</v>
      </c>
      <c r="G24" s="200">
        <f t="shared" si="1"/>
        <v>0.60942340833163022</v>
      </c>
      <c r="H24" s="200">
        <f t="shared" si="1"/>
        <v>0</v>
      </c>
      <c r="I24" s="200">
        <f t="shared" si="6"/>
        <v>0.75809972630087308</v>
      </c>
      <c r="J24" s="200">
        <f t="shared" si="2"/>
        <v>0.70967612228442967</v>
      </c>
      <c r="K24" s="200">
        <f t="shared" si="2"/>
        <v>0.14346892893888596</v>
      </c>
      <c r="L24" s="200">
        <f t="shared" si="7"/>
        <v>0.82566368365710274</v>
      </c>
      <c r="M24" s="200">
        <f t="shared" si="3"/>
        <v>0.79213146523797628</v>
      </c>
      <c r="N24" s="200">
        <f t="shared" si="3"/>
        <v>0.4564861332512411</v>
      </c>
    </row>
    <row r="25" spans="1:28" x14ac:dyDescent="0.3">
      <c r="B25" s="140">
        <v>1000</v>
      </c>
      <c r="C25" s="200">
        <f t="shared" si="4"/>
        <v>0.40689451888663614</v>
      </c>
      <c r="D25" s="200">
        <f t="shared" si="0"/>
        <v>0.40689451888663614</v>
      </c>
      <c r="E25" s="200">
        <f t="shared" si="0"/>
        <v>0</v>
      </c>
      <c r="F25" s="200">
        <f t="shared" si="5"/>
        <v>0.60512490353774018</v>
      </c>
      <c r="G25" s="200">
        <f t="shared" si="1"/>
        <v>0.56602600925736679</v>
      </c>
      <c r="H25" s="200">
        <f t="shared" si="1"/>
        <v>0</v>
      </c>
      <c r="I25" s="200">
        <f t="shared" si="6"/>
        <v>0.73122191811208115</v>
      </c>
      <c r="J25" s="200">
        <f t="shared" si="2"/>
        <v>0.67741791364936632</v>
      </c>
      <c r="K25" s="200">
        <f t="shared" si="2"/>
        <v>4.8298809932095468E-2</v>
      </c>
      <c r="L25" s="200">
        <f t="shared" si="7"/>
        <v>0.80629298184122533</v>
      </c>
      <c r="M25" s="200">
        <f t="shared" si="3"/>
        <v>0.76903496137552929</v>
      </c>
      <c r="N25" s="200">
        <f t="shared" si="3"/>
        <v>0.39609570361249008</v>
      </c>
    </row>
    <row r="26" spans="1:28" x14ac:dyDescent="0.3">
      <c r="B26" s="140">
        <v>1100</v>
      </c>
      <c r="C26" s="200">
        <f t="shared" si="4"/>
        <v>0.34758397077529968</v>
      </c>
      <c r="D26" s="200">
        <f t="shared" si="0"/>
        <v>0.34758397077529968</v>
      </c>
      <c r="E26" s="200">
        <f t="shared" si="0"/>
        <v>0</v>
      </c>
      <c r="F26" s="200">
        <f t="shared" si="5"/>
        <v>0.56563739389151424</v>
      </c>
      <c r="G26" s="200">
        <f t="shared" si="1"/>
        <v>0.52262861018310347</v>
      </c>
      <c r="H26" s="200">
        <f t="shared" si="1"/>
        <v>0</v>
      </c>
      <c r="I26" s="200">
        <f t="shared" si="6"/>
        <v>0.70434410992328933</v>
      </c>
      <c r="J26" s="200">
        <f t="shared" si="2"/>
        <v>0.64515970501430286</v>
      </c>
      <c r="K26" s="200">
        <f t="shared" si="2"/>
        <v>0</v>
      </c>
      <c r="L26" s="200">
        <f t="shared" si="7"/>
        <v>0.78692228002534781</v>
      </c>
      <c r="M26" s="200">
        <f t="shared" si="3"/>
        <v>0.74593845751308219</v>
      </c>
      <c r="N26" s="200">
        <f t="shared" si="3"/>
        <v>0.33570527397373917</v>
      </c>
    </row>
    <row r="27" spans="1:28" x14ac:dyDescent="0.3">
      <c r="B27" s="140">
        <v>1200</v>
      </c>
      <c r="C27" s="200">
        <f t="shared" si="4"/>
        <v>0.28827342266396339</v>
      </c>
      <c r="D27" s="200">
        <f t="shared" si="0"/>
        <v>0.28827342266396339</v>
      </c>
      <c r="E27" s="200">
        <f t="shared" si="0"/>
        <v>0</v>
      </c>
      <c r="F27" s="200">
        <f t="shared" si="5"/>
        <v>0.52614988424528841</v>
      </c>
      <c r="G27" s="200">
        <f t="shared" si="1"/>
        <v>0.47923121110884026</v>
      </c>
      <c r="H27" s="200">
        <f t="shared" si="1"/>
        <v>0</v>
      </c>
      <c r="I27" s="200">
        <f t="shared" si="6"/>
        <v>0.67746630173449751</v>
      </c>
      <c r="J27" s="200">
        <f t="shared" si="2"/>
        <v>0.61290149637923963</v>
      </c>
      <c r="K27" s="200">
        <f t="shared" si="2"/>
        <v>0</v>
      </c>
      <c r="L27" s="200">
        <f t="shared" si="7"/>
        <v>0.7675515782094704</v>
      </c>
      <c r="M27" s="200">
        <f t="shared" si="3"/>
        <v>0.72284195365063519</v>
      </c>
      <c r="N27" s="200">
        <f t="shared" si="3"/>
        <v>0.27531484433498815</v>
      </c>
    </row>
    <row r="28" spans="1:28" x14ac:dyDescent="0.3">
      <c r="B28" s="140">
        <v>1300</v>
      </c>
      <c r="C28" s="200">
        <f t="shared" si="4"/>
        <v>0.22896287455262693</v>
      </c>
      <c r="D28" s="200">
        <f t="shared" si="0"/>
        <v>0.22896287455262693</v>
      </c>
      <c r="E28" s="200">
        <f t="shared" si="0"/>
        <v>0</v>
      </c>
      <c r="F28" s="200">
        <f t="shared" si="5"/>
        <v>0.48666237459906236</v>
      </c>
      <c r="G28" s="200">
        <f t="shared" si="1"/>
        <v>0.43583381203457683</v>
      </c>
      <c r="H28" s="200">
        <f t="shared" si="1"/>
        <v>0</v>
      </c>
      <c r="I28" s="200">
        <f t="shared" si="6"/>
        <v>0.65058849354570558</v>
      </c>
      <c r="J28" s="200">
        <f t="shared" si="2"/>
        <v>0.58064328774417628</v>
      </c>
      <c r="K28" s="200">
        <f t="shared" si="2"/>
        <v>0</v>
      </c>
      <c r="L28" s="200">
        <f t="shared" si="7"/>
        <v>0.74818087639359288</v>
      </c>
      <c r="M28" s="200">
        <f t="shared" si="3"/>
        <v>0.69974544978818809</v>
      </c>
      <c r="N28" s="200">
        <f t="shared" si="3"/>
        <v>0.21492441469623713</v>
      </c>
    </row>
    <row r="29" spans="1:28" x14ac:dyDescent="0.3">
      <c r="B29" s="140">
        <v>1400</v>
      </c>
      <c r="C29" s="200">
        <f t="shared" si="4"/>
        <v>0.16965232644129061</v>
      </c>
      <c r="D29" s="200">
        <f t="shared" si="0"/>
        <v>0.16965232644129061</v>
      </c>
      <c r="E29" s="200">
        <f t="shared" si="0"/>
        <v>0</v>
      </c>
      <c r="F29" s="200">
        <f t="shared" si="5"/>
        <v>0.44717486495283632</v>
      </c>
      <c r="G29" s="200">
        <f t="shared" si="1"/>
        <v>0.39243641296031362</v>
      </c>
      <c r="H29" s="200">
        <f t="shared" si="1"/>
        <v>0</v>
      </c>
      <c r="I29" s="200">
        <f t="shared" si="6"/>
        <v>0.62371068535691365</v>
      </c>
      <c r="J29" s="200">
        <f t="shared" si="2"/>
        <v>0.54838507910911283</v>
      </c>
      <c r="K29" s="200">
        <f t="shared" si="2"/>
        <v>0</v>
      </c>
      <c r="L29" s="200">
        <f t="shared" si="7"/>
        <v>0.72881017457771535</v>
      </c>
      <c r="M29" s="200">
        <f t="shared" si="3"/>
        <v>0.67664894592574099</v>
      </c>
      <c r="N29" s="200">
        <f t="shared" si="3"/>
        <v>0.15453398505748622</v>
      </c>
    </row>
    <row r="30" spans="1:28" x14ac:dyDescent="0.3">
      <c r="B30" s="140">
        <v>1500</v>
      </c>
      <c r="C30" s="200">
        <f t="shared" si="4"/>
        <v>0.11034177832995418</v>
      </c>
      <c r="D30" s="200">
        <f t="shared" si="0"/>
        <v>0.11034177832995418</v>
      </c>
      <c r="E30" s="200">
        <f t="shared" si="0"/>
        <v>0</v>
      </c>
      <c r="F30" s="200">
        <f t="shared" si="5"/>
        <v>0.40768735530661043</v>
      </c>
      <c r="G30" s="200">
        <f t="shared" si="1"/>
        <v>0.34903901388605024</v>
      </c>
      <c r="H30" s="200">
        <f t="shared" si="1"/>
        <v>0</v>
      </c>
      <c r="I30" s="200">
        <f t="shared" si="6"/>
        <v>0.59683287716812172</v>
      </c>
      <c r="J30" s="200">
        <f t="shared" si="2"/>
        <v>0.51612687047404948</v>
      </c>
      <c r="K30" s="200">
        <f t="shared" si="2"/>
        <v>0</v>
      </c>
      <c r="L30" s="200">
        <f t="shared" si="7"/>
        <v>0.70943947276183794</v>
      </c>
      <c r="M30" s="200">
        <f t="shared" si="3"/>
        <v>0.65355244206329399</v>
      </c>
      <c r="N30" s="200">
        <f t="shared" si="3"/>
        <v>9.4143555418735203E-2</v>
      </c>
    </row>
    <row r="31" spans="1:28" x14ac:dyDescent="0.3">
      <c r="B31" s="140">
        <v>1600</v>
      </c>
      <c r="C31" s="200">
        <f t="shared" si="4"/>
        <v>5.1031230218617746E-2</v>
      </c>
      <c r="D31" s="200">
        <f t="shared" si="0"/>
        <v>5.1031230218617746E-2</v>
      </c>
      <c r="E31" s="200">
        <f t="shared" si="0"/>
        <v>0</v>
      </c>
      <c r="F31" s="200">
        <f t="shared" si="5"/>
        <v>0.36819984566038455</v>
      </c>
      <c r="G31" s="200">
        <f t="shared" si="1"/>
        <v>0.30564161481178698</v>
      </c>
      <c r="H31" s="200">
        <f t="shared" si="1"/>
        <v>0</v>
      </c>
      <c r="I31" s="200">
        <f t="shared" si="6"/>
        <v>0.56995506897933002</v>
      </c>
      <c r="J31" s="200">
        <f t="shared" si="2"/>
        <v>0.48386866183898619</v>
      </c>
      <c r="K31" s="200">
        <f t="shared" si="2"/>
        <v>0</v>
      </c>
      <c r="L31" s="200">
        <f t="shared" si="7"/>
        <v>0.69006877094596053</v>
      </c>
      <c r="M31" s="200">
        <f t="shared" si="3"/>
        <v>0.63045593820084678</v>
      </c>
      <c r="N31" s="200">
        <f t="shared" si="3"/>
        <v>3.3753125779984183E-2</v>
      </c>
    </row>
    <row r="32" spans="1:28" x14ac:dyDescent="0.3">
      <c r="B32" s="140">
        <v>1700</v>
      </c>
      <c r="C32" s="200">
        <f t="shared" si="4"/>
        <v>0</v>
      </c>
      <c r="D32" s="200">
        <f t="shared" si="4"/>
        <v>0</v>
      </c>
      <c r="E32" s="200">
        <f t="shared" si="4"/>
        <v>0</v>
      </c>
      <c r="F32" s="200">
        <f t="shared" si="5"/>
        <v>0.3287123360141585</v>
      </c>
      <c r="G32" s="200">
        <f t="shared" si="5"/>
        <v>0.26224421573752366</v>
      </c>
      <c r="H32" s="200">
        <f t="shared" si="5"/>
        <v>0</v>
      </c>
      <c r="I32" s="200">
        <f t="shared" si="6"/>
        <v>0.54307726079053809</v>
      </c>
      <c r="J32" s="200">
        <f t="shared" si="6"/>
        <v>0.45161045320392279</v>
      </c>
      <c r="K32" s="200">
        <f t="shared" si="6"/>
        <v>0</v>
      </c>
      <c r="L32" s="200">
        <f t="shared" si="7"/>
        <v>0.67069806913008301</v>
      </c>
      <c r="M32" s="200">
        <f t="shared" si="7"/>
        <v>0.60735943433839978</v>
      </c>
      <c r="N32" s="200">
        <f t="shared" si="7"/>
        <v>0</v>
      </c>
    </row>
    <row r="33" spans="2:14" x14ac:dyDescent="0.3">
      <c r="B33" s="140">
        <v>1800</v>
      </c>
      <c r="C33" s="200">
        <f t="shared" si="4"/>
        <v>0</v>
      </c>
      <c r="D33" s="200">
        <f t="shared" si="4"/>
        <v>0</v>
      </c>
      <c r="E33" s="200">
        <f t="shared" si="4"/>
        <v>0</v>
      </c>
      <c r="F33" s="200">
        <f t="shared" si="5"/>
        <v>0.28922482636793245</v>
      </c>
      <c r="G33" s="200">
        <f t="shared" si="5"/>
        <v>0.21884681666326036</v>
      </c>
      <c r="H33" s="200">
        <f t="shared" si="5"/>
        <v>0</v>
      </c>
      <c r="I33" s="200">
        <f t="shared" si="6"/>
        <v>0.51619945260174616</v>
      </c>
      <c r="J33" s="200">
        <f t="shared" si="6"/>
        <v>0.41935224456885933</v>
      </c>
      <c r="K33" s="200">
        <f t="shared" si="6"/>
        <v>0</v>
      </c>
      <c r="L33" s="200">
        <f t="shared" si="7"/>
        <v>0.65132736731420549</v>
      </c>
      <c r="M33" s="200">
        <f t="shared" si="7"/>
        <v>0.58426293047595268</v>
      </c>
      <c r="N33" s="200">
        <f t="shared" si="7"/>
        <v>0</v>
      </c>
    </row>
    <row r="34" spans="2:14" x14ac:dyDescent="0.3">
      <c r="B34" s="140">
        <v>1900</v>
      </c>
      <c r="C34" s="200">
        <f t="shared" si="4"/>
        <v>0</v>
      </c>
      <c r="D34" s="200">
        <f t="shared" si="4"/>
        <v>0</v>
      </c>
      <c r="E34" s="200">
        <f t="shared" si="4"/>
        <v>0</v>
      </c>
      <c r="F34" s="200">
        <f t="shared" si="5"/>
        <v>0.24973731672170657</v>
      </c>
      <c r="G34" s="200">
        <f t="shared" si="5"/>
        <v>0.17544941758899696</v>
      </c>
      <c r="H34" s="200">
        <f t="shared" si="5"/>
        <v>0</v>
      </c>
      <c r="I34" s="200">
        <f t="shared" si="6"/>
        <v>0.48932164441295434</v>
      </c>
      <c r="J34" s="200">
        <f t="shared" si="6"/>
        <v>0.38709403593379599</v>
      </c>
      <c r="K34" s="200">
        <f t="shared" si="6"/>
        <v>0</v>
      </c>
      <c r="L34" s="200">
        <f t="shared" si="7"/>
        <v>0.63195666549832807</v>
      </c>
      <c r="M34" s="200">
        <f t="shared" si="7"/>
        <v>0.56116642661350569</v>
      </c>
      <c r="N34" s="200">
        <f t="shared" si="7"/>
        <v>0</v>
      </c>
    </row>
    <row r="35" spans="2:14" x14ac:dyDescent="0.3">
      <c r="B35" s="140">
        <v>2000</v>
      </c>
      <c r="C35" s="200">
        <f t="shared" si="4"/>
        <v>0</v>
      </c>
      <c r="D35" s="200">
        <f t="shared" si="4"/>
        <v>0</v>
      </c>
      <c r="E35" s="200">
        <f t="shared" si="4"/>
        <v>0</v>
      </c>
      <c r="F35" s="200">
        <f t="shared" si="5"/>
        <v>0.21024980707548055</v>
      </c>
      <c r="G35" s="200">
        <f t="shared" si="5"/>
        <v>0.13205201851473367</v>
      </c>
      <c r="H35" s="200">
        <f t="shared" si="5"/>
        <v>0</v>
      </c>
      <c r="I35" s="200">
        <f t="shared" si="6"/>
        <v>0.4624438362241623</v>
      </c>
      <c r="J35" s="200">
        <f t="shared" si="6"/>
        <v>0.35483582729873264</v>
      </c>
      <c r="K35" s="200">
        <f t="shared" si="6"/>
        <v>0</v>
      </c>
      <c r="L35" s="200">
        <f t="shared" si="7"/>
        <v>0.61258596368245055</v>
      </c>
      <c r="M35" s="200">
        <f t="shared" si="7"/>
        <v>0.53806992275105847</v>
      </c>
      <c r="N35" s="200">
        <f t="shared" si="7"/>
        <v>0</v>
      </c>
    </row>
    <row r="36" spans="2:14" x14ac:dyDescent="0.3">
      <c r="B36" s="140">
        <v>2100</v>
      </c>
      <c r="C36" s="200">
        <f t="shared" si="4"/>
        <v>0</v>
      </c>
      <c r="D36" s="200">
        <f t="shared" si="4"/>
        <v>0</v>
      </c>
      <c r="E36" s="200">
        <f t="shared" si="4"/>
        <v>0</v>
      </c>
      <c r="F36" s="200">
        <f t="shared" si="5"/>
        <v>0.17076229742925464</v>
      </c>
      <c r="G36" s="200">
        <f t="shared" si="5"/>
        <v>8.8654619440470372E-2</v>
      </c>
      <c r="H36" s="200">
        <f t="shared" si="5"/>
        <v>0</v>
      </c>
      <c r="I36" s="200">
        <f t="shared" si="6"/>
        <v>0.43556602803537053</v>
      </c>
      <c r="J36" s="200">
        <f t="shared" si="6"/>
        <v>0.32257761866366924</v>
      </c>
      <c r="K36" s="200">
        <f t="shared" si="6"/>
        <v>0</v>
      </c>
      <c r="L36" s="200">
        <f t="shared" si="7"/>
        <v>0.59321526186657303</v>
      </c>
      <c r="M36" s="200">
        <f t="shared" si="7"/>
        <v>0.51497341888861148</v>
      </c>
      <c r="N36" s="200">
        <f t="shared" si="7"/>
        <v>0</v>
      </c>
    </row>
    <row r="37" spans="2:14" x14ac:dyDescent="0.3">
      <c r="B37" s="140">
        <v>2200</v>
      </c>
      <c r="C37" s="200">
        <f t="shared" si="4"/>
        <v>0</v>
      </c>
      <c r="D37" s="200">
        <f t="shared" si="4"/>
        <v>0</v>
      </c>
      <c r="E37" s="200">
        <f t="shared" si="4"/>
        <v>0</v>
      </c>
      <c r="F37" s="200">
        <f t="shared" si="5"/>
        <v>0.13127478778302859</v>
      </c>
      <c r="G37" s="200">
        <f t="shared" si="5"/>
        <v>4.5257220366207052E-2</v>
      </c>
      <c r="H37" s="200">
        <f t="shared" si="5"/>
        <v>0</v>
      </c>
      <c r="I37" s="200">
        <f t="shared" si="6"/>
        <v>0.40868821984657866</v>
      </c>
      <c r="J37" s="200">
        <f t="shared" si="6"/>
        <v>0.29031941002860595</v>
      </c>
      <c r="K37" s="200">
        <f t="shared" si="6"/>
        <v>0</v>
      </c>
      <c r="L37" s="200">
        <f t="shared" si="7"/>
        <v>0.57384456005069551</v>
      </c>
      <c r="M37" s="200">
        <f t="shared" si="7"/>
        <v>0.49187691502616437</v>
      </c>
      <c r="N37" s="200">
        <f t="shared" si="7"/>
        <v>0</v>
      </c>
    </row>
    <row r="38" spans="2:14" x14ac:dyDescent="0.3">
      <c r="B38" s="140">
        <v>2300</v>
      </c>
      <c r="C38" s="200">
        <f t="shared" si="4"/>
        <v>0</v>
      </c>
      <c r="D38" s="200">
        <f t="shared" si="4"/>
        <v>0</v>
      </c>
      <c r="E38" s="200">
        <f t="shared" si="4"/>
        <v>0</v>
      </c>
      <c r="F38" s="200">
        <f t="shared" si="5"/>
        <v>9.1787278136802708E-2</v>
      </c>
      <c r="G38" s="200">
        <f t="shared" si="5"/>
        <v>1.8598212919437862E-3</v>
      </c>
      <c r="H38" s="200">
        <f t="shared" si="5"/>
        <v>0</v>
      </c>
      <c r="I38" s="200">
        <f t="shared" si="6"/>
        <v>0.38181041165778673</v>
      </c>
      <c r="J38" s="200">
        <f t="shared" si="6"/>
        <v>0.25806120139354261</v>
      </c>
      <c r="K38" s="200">
        <f t="shared" si="6"/>
        <v>0</v>
      </c>
      <c r="L38" s="200">
        <f t="shared" si="7"/>
        <v>0.5544738582348181</v>
      </c>
      <c r="M38" s="200">
        <f t="shared" si="7"/>
        <v>0.46878041116371738</v>
      </c>
      <c r="N38" s="200">
        <f t="shared" si="7"/>
        <v>0</v>
      </c>
    </row>
    <row r="39" spans="2:14" x14ac:dyDescent="0.3">
      <c r="B39" s="140">
        <v>2400</v>
      </c>
      <c r="C39" s="200">
        <f t="shared" si="4"/>
        <v>0</v>
      </c>
      <c r="D39" s="200">
        <f t="shared" si="4"/>
        <v>0</v>
      </c>
      <c r="E39" s="200">
        <f t="shared" si="4"/>
        <v>0</v>
      </c>
      <c r="F39" s="200">
        <f t="shared" si="5"/>
        <v>5.2299768490576659E-2</v>
      </c>
      <c r="G39" s="200">
        <f t="shared" si="5"/>
        <v>0</v>
      </c>
      <c r="H39" s="200">
        <f t="shared" si="5"/>
        <v>0</v>
      </c>
      <c r="I39" s="200">
        <f t="shared" si="6"/>
        <v>0.35493260346899491</v>
      </c>
      <c r="J39" s="200">
        <f t="shared" si="6"/>
        <v>0.22580299275847915</v>
      </c>
      <c r="K39" s="200">
        <f t="shared" si="6"/>
        <v>0</v>
      </c>
      <c r="L39" s="200">
        <f t="shared" si="7"/>
        <v>0.53510315641894057</v>
      </c>
      <c r="M39" s="200">
        <f t="shared" si="7"/>
        <v>0.44568390730127028</v>
      </c>
      <c r="N39" s="200">
        <f t="shared" si="7"/>
        <v>0</v>
      </c>
    </row>
    <row r="40" spans="2:14" x14ac:dyDescent="0.3">
      <c r="B40" s="140">
        <v>2500</v>
      </c>
      <c r="C40" s="200">
        <f t="shared" si="4"/>
        <v>0</v>
      </c>
      <c r="D40" s="200">
        <f t="shared" si="4"/>
        <v>0</v>
      </c>
      <c r="E40" s="200">
        <f t="shared" si="4"/>
        <v>0</v>
      </c>
      <c r="F40" s="200">
        <f t="shared" si="5"/>
        <v>1.2812258844350666E-2</v>
      </c>
      <c r="G40" s="200">
        <f t="shared" si="5"/>
        <v>0</v>
      </c>
      <c r="H40" s="200">
        <f t="shared" si="5"/>
        <v>0</v>
      </c>
      <c r="I40" s="200">
        <f t="shared" si="6"/>
        <v>0.32805479528020293</v>
      </c>
      <c r="J40" s="200">
        <f t="shared" si="6"/>
        <v>0.19354478412341586</v>
      </c>
      <c r="K40" s="200">
        <f t="shared" si="6"/>
        <v>0</v>
      </c>
      <c r="L40" s="200">
        <f t="shared" si="7"/>
        <v>0.51573245460306305</v>
      </c>
      <c r="M40" s="200">
        <f t="shared" si="7"/>
        <v>0.42258740343882323</v>
      </c>
      <c r="N40" s="200">
        <f t="shared" si="7"/>
        <v>0</v>
      </c>
    </row>
    <row r="41" spans="2:14" x14ac:dyDescent="0.3">
      <c r="B41" s="140">
        <v>2600</v>
      </c>
      <c r="C41" s="200">
        <f t="shared" si="4"/>
        <v>0</v>
      </c>
      <c r="D41" s="200">
        <f t="shared" si="4"/>
        <v>0</v>
      </c>
      <c r="E41" s="200">
        <f t="shared" si="4"/>
        <v>0</v>
      </c>
      <c r="F41" s="200">
        <f t="shared" si="5"/>
        <v>0</v>
      </c>
      <c r="G41" s="200">
        <f t="shared" si="5"/>
        <v>0</v>
      </c>
      <c r="H41" s="200">
        <f t="shared" si="5"/>
        <v>0</v>
      </c>
      <c r="I41" s="200">
        <f t="shared" si="6"/>
        <v>0.30117698709141111</v>
      </c>
      <c r="J41" s="200">
        <f t="shared" si="6"/>
        <v>0.1612865754883524</v>
      </c>
      <c r="K41" s="200">
        <f t="shared" si="6"/>
        <v>0</v>
      </c>
      <c r="L41" s="200">
        <f t="shared" si="7"/>
        <v>0.49636175278718564</v>
      </c>
      <c r="M41" s="200">
        <f t="shared" si="7"/>
        <v>0.39949089957637618</v>
      </c>
      <c r="N41" s="200">
        <f t="shared" si="7"/>
        <v>0</v>
      </c>
    </row>
    <row r="42" spans="2:14" x14ac:dyDescent="0.3">
      <c r="B42" s="140">
        <v>2700</v>
      </c>
      <c r="C42" s="200">
        <f t="shared" si="4"/>
        <v>0</v>
      </c>
      <c r="D42" s="200">
        <f t="shared" si="4"/>
        <v>0</v>
      </c>
      <c r="E42" s="200">
        <f t="shared" si="4"/>
        <v>0</v>
      </c>
      <c r="F42" s="200">
        <f t="shared" si="5"/>
        <v>0</v>
      </c>
      <c r="G42" s="200">
        <f t="shared" si="5"/>
        <v>0</v>
      </c>
      <c r="H42" s="200">
        <f t="shared" si="5"/>
        <v>0</v>
      </c>
      <c r="I42" s="200">
        <f t="shared" si="6"/>
        <v>0.27429917890261923</v>
      </c>
      <c r="J42" s="200">
        <f t="shared" si="6"/>
        <v>0.129028366853289</v>
      </c>
      <c r="K42" s="200">
        <f t="shared" si="6"/>
        <v>0</v>
      </c>
      <c r="L42" s="200">
        <f t="shared" si="7"/>
        <v>0.47699105097130817</v>
      </c>
      <c r="M42" s="200">
        <f t="shared" si="7"/>
        <v>0.37639439571392913</v>
      </c>
      <c r="N42" s="200">
        <f t="shared" si="7"/>
        <v>0</v>
      </c>
    </row>
    <row r="43" spans="2:14" x14ac:dyDescent="0.3">
      <c r="B43" s="140">
        <v>2800</v>
      </c>
      <c r="C43" s="200">
        <f t="shared" si="4"/>
        <v>0</v>
      </c>
      <c r="D43" s="200">
        <f t="shared" si="4"/>
        <v>0</v>
      </c>
      <c r="E43" s="200">
        <f t="shared" si="4"/>
        <v>0</v>
      </c>
      <c r="F43" s="200">
        <f t="shared" si="5"/>
        <v>0</v>
      </c>
      <c r="G43" s="200">
        <f t="shared" si="5"/>
        <v>0</v>
      </c>
      <c r="H43" s="200">
        <f t="shared" si="5"/>
        <v>0</v>
      </c>
      <c r="I43" s="200">
        <f t="shared" si="6"/>
        <v>0.2474213707138273</v>
      </c>
      <c r="J43" s="200">
        <f t="shared" si="6"/>
        <v>9.6770158218225655E-2</v>
      </c>
      <c r="K43" s="200">
        <f t="shared" si="6"/>
        <v>0</v>
      </c>
      <c r="L43" s="200">
        <f t="shared" si="7"/>
        <v>0.45762034915543071</v>
      </c>
      <c r="M43" s="200">
        <f t="shared" si="7"/>
        <v>0.35329789185148208</v>
      </c>
      <c r="N43" s="200">
        <f t="shared" si="7"/>
        <v>0</v>
      </c>
    </row>
    <row r="44" spans="2:14" x14ac:dyDescent="0.3">
      <c r="B44" s="140">
        <v>2900</v>
      </c>
      <c r="C44" s="200">
        <f t="shared" si="4"/>
        <v>0</v>
      </c>
      <c r="D44" s="200">
        <f t="shared" si="4"/>
        <v>0</v>
      </c>
      <c r="E44" s="200">
        <f t="shared" si="4"/>
        <v>0</v>
      </c>
      <c r="F44" s="200">
        <f t="shared" si="5"/>
        <v>0</v>
      </c>
      <c r="G44" s="200">
        <f t="shared" si="5"/>
        <v>0</v>
      </c>
      <c r="H44" s="200">
        <f t="shared" si="5"/>
        <v>0</v>
      </c>
      <c r="I44" s="200">
        <f t="shared" si="6"/>
        <v>0.22054356252503549</v>
      </c>
      <c r="J44" s="200">
        <f t="shared" si="6"/>
        <v>6.4511949583162309E-2</v>
      </c>
      <c r="K44" s="200">
        <f t="shared" si="6"/>
        <v>0</v>
      </c>
      <c r="L44" s="200">
        <f t="shared" si="7"/>
        <v>0.43824964733955324</v>
      </c>
      <c r="M44" s="200">
        <f t="shared" si="7"/>
        <v>0.33020138798903492</v>
      </c>
      <c r="N44" s="200">
        <f t="shared" si="7"/>
        <v>0</v>
      </c>
    </row>
    <row r="45" spans="2:14" x14ac:dyDescent="0.3">
      <c r="B45" s="140">
        <v>3000</v>
      </c>
      <c r="C45" s="200">
        <f t="shared" si="4"/>
        <v>0</v>
      </c>
      <c r="D45" s="200">
        <f t="shared" si="4"/>
        <v>0</v>
      </c>
      <c r="E45" s="200">
        <f t="shared" si="4"/>
        <v>0</v>
      </c>
      <c r="F45" s="200">
        <f t="shared" si="5"/>
        <v>0</v>
      </c>
      <c r="G45" s="200">
        <f t="shared" si="5"/>
        <v>0</v>
      </c>
      <c r="H45" s="200">
        <f t="shared" si="5"/>
        <v>0</v>
      </c>
      <c r="I45" s="200">
        <f t="shared" si="6"/>
        <v>0.19366575433624361</v>
      </c>
      <c r="J45" s="200">
        <f t="shared" si="6"/>
        <v>3.2253740948099019E-2</v>
      </c>
      <c r="K45" s="200">
        <f t="shared" si="6"/>
        <v>0</v>
      </c>
      <c r="L45" s="200">
        <f t="shared" si="7"/>
        <v>0.41887894552367577</v>
      </c>
      <c r="M45" s="200">
        <f t="shared" si="7"/>
        <v>0.30710488412658787</v>
      </c>
      <c r="N45" s="200">
        <f t="shared" si="7"/>
        <v>0</v>
      </c>
    </row>
    <row r="46" spans="2:14" x14ac:dyDescent="0.3">
      <c r="B46" s="140">
        <v>3100</v>
      </c>
      <c r="C46" s="200">
        <f t="shared" si="4"/>
        <v>0</v>
      </c>
      <c r="D46" s="200">
        <f t="shared" si="4"/>
        <v>0</v>
      </c>
      <c r="E46" s="200">
        <f t="shared" si="4"/>
        <v>0</v>
      </c>
      <c r="F46" s="200">
        <f t="shared" si="5"/>
        <v>0</v>
      </c>
      <c r="G46" s="200">
        <f t="shared" si="5"/>
        <v>0</v>
      </c>
      <c r="H46" s="200">
        <f t="shared" si="5"/>
        <v>0</v>
      </c>
      <c r="I46" s="200">
        <f t="shared" si="6"/>
        <v>0.16678794614745168</v>
      </c>
      <c r="J46" s="200">
        <f t="shared" si="6"/>
        <v>0</v>
      </c>
      <c r="K46" s="200">
        <f t="shared" si="6"/>
        <v>0</v>
      </c>
      <c r="L46" s="200">
        <f t="shared" si="7"/>
        <v>0.39950824370779831</v>
      </c>
      <c r="M46" s="200">
        <f t="shared" si="7"/>
        <v>0.28400838026414083</v>
      </c>
      <c r="N46" s="200">
        <f t="shared" si="7"/>
        <v>0</v>
      </c>
    </row>
    <row r="47" spans="2:14" x14ac:dyDescent="0.3">
      <c r="B47" s="140">
        <v>3200</v>
      </c>
      <c r="C47" s="200">
        <f t="shared" si="4"/>
        <v>0</v>
      </c>
      <c r="D47" s="200">
        <f t="shared" si="4"/>
        <v>0</v>
      </c>
      <c r="E47" s="200">
        <f t="shared" si="4"/>
        <v>0</v>
      </c>
      <c r="F47" s="200">
        <f t="shared" si="5"/>
        <v>0</v>
      </c>
      <c r="G47" s="200">
        <f t="shared" si="5"/>
        <v>0</v>
      </c>
      <c r="H47" s="200">
        <f t="shared" si="5"/>
        <v>0</v>
      </c>
      <c r="I47" s="200">
        <f t="shared" si="6"/>
        <v>0.13991013795865992</v>
      </c>
      <c r="J47" s="200">
        <f t="shared" si="6"/>
        <v>0</v>
      </c>
      <c r="K47" s="200">
        <f t="shared" si="6"/>
        <v>0</v>
      </c>
      <c r="L47" s="200">
        <f t="shared" si="7"/>
        <v>0.38013754189192084</v>
      </c>
      <c r="M47" s="200">
        <f t="shared" si="7"/>
        <v>0.26091187640169367</v>
      </c>
      <c r="N47" s="200">
        <f t="shared" si="7"/>
        <v>0</v>
      </c>
    </row>
    <row r="48" spans="2:14" x14ac:dyDescent="0.3">
      <c r="B48" s="140">
        <v>3300</v>
      </c>
      <c r="C48" s="200">
        <f t="shared" si="4"/>
        <v>0</v>
      </c>
      <c r="D48" s="200">
        <f t="shared" si="4"/>
        <v>0</v>
      </c>
      <c r="E48" s="200">
        <f t="shared" si="4"/>
        <v>0</v>
      </c>
      <c r="F48" s="200">
        <f t="shared" si="5"/>
        <v>0</v>
      </c>
      <c r="G48" s="200">
        <f t="shared" si="5"/>
        <v>0</v>
      </c>
      <c r="H48" s="200">
        <f t="shared" si="5"/>
        <v>0</v>
      </c>
      <c r="I48" s="200">
        <f t="shared" si="6"/>
        <v>0.11303232976986788</v>
      </c>
      <c r="J48" s="200">
        <f t="shared" si="6"/>
        <v>0</v>
      </c>
      <c r="K48" s="200">
        <f t="shared" si="6"/>
        <v>0</v>
      </c>
      <c r="L48" s="200">
        <f t="shared" si="7"/>
        <v>0.36076684007604337</v>
      </c>
      <c r="M48" s="200">
        <f t="shared" si="7"/>
        <v>0.23781537253924662</v>
      </c>
      <c r="N48" s="200">
        <f t="shared" si="7"/>
        <v>0</v>
      </c>
    </row>
    <row r="49" spans="2:14" x14ac:dyDescent="0.3">
      <c r="B49" s="140">
        <v>3400</v>
      </c>
      <c r="C49" s="200">
        <f t="shared" ref="C49:E80" si="8">MAX(0,1-$B49*(MAX(0.75,POWER(C$15/$C$4,2)))/$C$3-$B49*$C$12)</f>
        <v>0</v>
      </c>
      <c r="D49" s="200">
        <f t="shared" si="8"/>
        <v>0</v>
      </c>
      <c r="E49" s="200">
        <f t="shared" si="8"/>
        <v>0</v>
      </c>
      <c r="F49" s="200">
        <f t="shared" ref="F49:H80" si="9">MAX(0,1-$B49*(MAX(0.75,POWER(F$15/$E$4,2)))/$E$3-$B49*$E$12)</f>
        <v>0</v>
      </c>
      <c r="G49" s="200">
        <f t="shared" si="9"/>
        <v>0</v>
      </c>
      <c r="H49" s="200">
        <f t="shared" si="9"/>
        <v>0</v>
      </c>
      <c r="I49" s="200">
        <f t="shared" ref="I49:K80" si="10">MAX(0,1-$B49*(MAX(0.75,POWER(I$15/$G$4,2)))/$G$3-$B49*$G$12)</f>
        <v>8.6154521581076116E-2</v>
      </c>
      <c r="J49" s="200">
        <f t="shared" si="10"/>
        <v>0</v>
      </c>
      <c r="K49" s="200">
        <f t="shared" si="10"/>
        <v>0</v>
      </c>
      <c r="L49" s="200">
        <f t="shared" ref="L49:N80" si="11">MAX(0,1-$B49*(MAX(0.75,POWER(L$15/$I$4,2)))/$I$3-$B49*$I$12)</f>
        <v>0.34139613826016585</v>
      </c>
      <c r="M49" s="200">
        <f t="shared" si="11"/>
        <v>0.21471886867679951</v>
      </c>
      <c r="N49" s="200">
        <f t="shared" si="11"/>
        <v>0</v>
      </c>
    </row>
    <row r="50" spans="2:14" x14ac:dyDescent="0.3">
      <c r="B50" s="140">
        <v>3500</v>
      </c>
      <c r="C50" s="200">
        <f t="shared" si="8"/>
        <v>0</v>
      </c>
      <c r="D50" s="200">
        <f t="shared" si="8"/>
        <v>0</v>
      </c>
      <c r="E50" s="200">
        <f t="shared" si="8"/>
        <v>0</v>
      </c>
      <c r="F50" s="200">
        <f t="shared" si="9"/>
        <v>0</v>
      </c>
      <c r="G50" s="200">
        <f t="shared" si="9"/>
        <v>0</v>
      </c>
      <c r="H50" s="200">
        <f t="shared" si="9"/>
        <v>0</v>
      </c>
      <c r="I50" s="200">
        <f t="shared" si="10"/>
        <v>5.9276713392284186E-2</v>
      </c>
      <c r="J50" s="200">
        <f t="shared" si="10"/>
        <v>0</v>
      </c>
      <c r="K50" s="200">
        <f t="shared" si="10"/>
        <v>0</v>
      </c>
      <c r="L50" s="200">
        <f t="shared" si="11"/>
        <v>0.32202543644428838</v>
      </c>
      <c r="M50" s="200">
        <f t="shared" si="11"/>
        <v>0.19162236481435246</v>
      </c>
      <c r="N50" s="200">
        <f t="shared" si="11"/>
        <v>0</v>
      </c>
    </row>
    <row r="51" spans="2:14" x14ac:dyDescent="0.3">
      <c r="B51" s="140">
        <v>3600</v>
      </c>
      <c r="C51" s="200">
        <f t="shared" si="8"/>
        <v>0</v>
      </c>
      <c r="D51" s="200">
        <f t="shared" si="8"/>
        <v>0</v>
      </c>
      <c r="E51" s="200">
        <f t="shared" si="8"/>
        <v>0</v>
      </c>
      <c r="F51" s="200">
        <f t="shared" si="9"/>
        <v>0</v>
      </c>
      <c r="G51" s="200">
        <f t="shared" si="9"/>
        <v>0</v>
      </c>
      <c r="H51" s="200">
        <f t="shared" si="9"/>
        <v>0</v>
      </c>
      <c r="I51" s="200">
        <f t="shared" si="10"/>
        <v>3.2398905203492256E-2</v>
      </c>
      <c r="J51" s="200">
        <f t="shared" si="10"/>
        <v>0</v>
      </c>
      <c r="K51" s="200">
        <f t="shared" si="10"/>
        <v>0</v>
      </c>
      <c r="L51" s="200">
        <f t="shared" si="11"/>
        <v>0.30265473462841092</v>
      </c>
      <c r="M51" s="200">
        <f t="shared" si="11"/>
        <v>0.16852586095190542</v>
      </c>
      <c r="N51" s="200">
        <f t="shared" si="11"/>
        <v>0</v>
      </c>
    </row>
    <row r="52" spans="2:14" x14ac:dyDescent="0.3">
      <c r="B52" s="140">
        <v>3700</v>
      </c>
      <c r="C52" s="200">
        <f t="shared" si="8"/>
        <v>0</v>
      </c>
      <c r="D52" s="200">
        <f t="shared" si="8"/>
        <v>0</v>
      </c>
      <c r="E52" s="200">
        <f t="shared" si="8"/>
        <v>0</v>
      </c>
      <c r="F52" s="200">
        <f t="shared" si="9"/>
        <v>0</v>
      </c>
      <c r="G52" s="200">
        <f t="shared" si="9"/>
        <v>0</v>
      </c>
      <c r="H52" s="200">
        <f t="shared" si="9"/>
        <v>0</v>
      </c>
      <c r="I52" s="200">
        <f t="shared" si="10"/>
        <v>5.5210970147003824E-3</v>
      </c>
      <c r="J52" s="200">
        <f t="shared" si="10"/>
        <v>0</v>
      </c>
      <c r="K52" s="200">
        <f t="shared" si="10"/>
        <v>0</v>
      </c>
      <c r="L52" s="200">
        <f t="shared" si="11"/>
        <v>0.28328403281253345</v>
      </c>
      <c r="M52" s="200">
        <f t="shared" si="11"/>
        <v>0.14542935708945837</v>
      </c>
      <c r="N52" s="200">
        <f t="shared" si="11"/>
        <v>0</v>
      </c>
    </row>
    <row r="53" spans="2:14" x14ac:dyDescent="0.3">
      <c r="B53" s="140">
        <v>3800</v>
      </c>
      <c r="C53" s="200">
        <f t="shared" si="8"/>
        <v>0</v>
      </c>
      <c r="D53" s="200">
        <f t="shared" si="8"/>
        <v>0</v>
      </c>
      <c r="E53" s="200">
        <f t="shared" si="8"/>
        <v>0</v>
      </c>
      <c r="F53" s="200">
        <f t="shared" si="9"/>
        <v>0</v>
      </c>
      <c r="G53" s="200">
        <f t="shared" si="9"/>
        <v>0</v>
      </c>
      <c r="H53" s="200">
        <f t="shared" si="9"/>
        <v>0</v>
      </c>
      <c r="I53" s="200">
        <f t="shared" si="10"/>
        <v>0</v>
      </c>
      <c r="J53" s="200">
        <f t="shared" si="10"/>
        <v>0</v>
      </c>
      <c r="K53" s="200">
        <f t="shared" si="10"/>
        <v>0</v>
      </c>
      <c r="L53" s="200">
        <f t="shared" si="11"/>
        <v>0.26391333099665598</v>
      </c>
      <c r="M53" s="200">
        <f t="shared" si="11"/>
        <v>0.12233285322701132</v>
      </c>
      <c r="N53" s="200">
        <f t="shared" si="11"/>
        <v>0</v>
      </c>
    </row>
    <row r="54" spans="2:14" x14ac:dyDescent="0.3">
      <c r="B54" s="140">
        <v>3900</v>
      </c>
      <c r="C54" s="200">
        <f t="shared" si="8"/>
        <v>0</v>
      </c>
      <c r="D54" s="200">
        <f t="shared" si="8"/>
        <v>0</v>
      </c>
      <c r="E54" s="200">
        <f t="shared" si="8"/>
        <v>0</v>
      </c>
      <c r="F54" s="200">
        <f t="shared" si="9"/>
        <v>0</v>
      </c>
      <c r="G54" s="200">
        <f t="shared" si="9"/>
        <v>0</v>
      </c>
      <c r="H54" s="200">
        <f t="shared" si="9"/>
        <v>0</v>
      </c>
      <c r="I54" s="200">
        <f t="shared" si="10"/>
        <v>0</v>
      </c>
      <c r="J54" s="200">
        <f t="shared" si="10"/>
        <v>0</v>
      </c>
      <c r="K54" s="200">
        <f t="shared" si="10"/>
        <v>0</v>
      </c>
      <c r="L54" s="200">
        <f t="shared" si="11"/>
        <v>0.24454262918077851</v>
      </c>
      <c r="M54" s="200">
        <f t="shared" si="11"/>
        <v>9.9236349364564158E-2</v>
      </c>
      <c r="N54" s="200">
        <f t="shared" si="11"/>
        <v>0</v>
      </c>
    </row>
    <row r="55" spans="2:14" x14ac:dyDescent="0.3">
      <c r="B55" s="140">
        <v>4000</v>
      </c>
      <c r="C55" s="200">
        <f t="shared" si="8"/>
        <v>0</v>
      </c>
      <c r="D55" s="200">
        <f t="shared" si="8"/>
        <v>0</v>
      </c>
      <c r="E55" s="200">
        <f t="shared" si="8"/>
        <v>0</v>
      </c>
      <c r="F55" s="200">
        <f t="shared" si="9"/>
        <v>0</v>
      </c>
      <c r="G55" s="200">
        <f t="shared" si="9"/>
        <v>0</v>
      </c>
      <c r="H55" s="200">
        <f t="shared" si="9"/>
        <v>0</v>
      </c>
      <c r="I55" s="200">
        <f t="shared" si="10"/>
        <v>0</v>
      </c>
      <c r="J55" s="200">
        <f t="shared" si="10"/>
        <v>0</v>
      </c>
      <c r="K55" s="200">
        <f t="shared" si="10"/>
        <v>0</v>
      </c>
      <c r="L55" s="200">
        <f t="shared" si="11"/>
        <v>0.22517192736490105</v>
      </c>
      <c r="M55" s="200">
        <f t="shared" si="11"/>
        <v>7.6139845502117109E-2</v>
      </c>
      <c r="N55" s="200">
        <f t="shared" si="11"/>
        <v>0</v>
      </c>
    </row>
    <row r="56" spans="2:14" x14ac:dyDescent="0.3">
      <c r="B56" s="140">
        <v>4100</v>
      </c>
      <c r="C56" s="200">
        <f t="shared" si="8"/>
        <v>0</v>
      </c>
      <c r="D56" s="200">
        <f t="shared" si="8"/>
        <v>0</v>
      </c>
      <c r="E56" s="200">
        <f t="shared" si="8"/>
        <v>0</v>
      </c>
      <c r="F56" s="200">
        <f t="shared" si="9"/>
        <v>0</v>
      </c>
      <c r="G56" s="200">
        <f t="shared" si="9"/>
        <v>0</v>
      </c>
      <c r="H56" s="200">
        <f t="shared" si="9"/>
        <v>0</v>
      </c>
      <c r="I56" s="200">
        <f t="shared" si="10"/>
        <v>0</v>
      </c>
      <c r="J56" s="200">
        <f t="shared" si="10"/>
        <v>0</v>
      </c>
      <c r="K56" s="200">
        <f t="shared" si="10"/>
        <v>0</v>
      </c>
      <c r="L56" s="200">
        <f t="shared" si="11"/>
        <v>0.20580122554902347</v>
      </c>
      <c r="M56" s="200">
        <f t="shared" si="11"/>
        <v>5.3043341639670061E-2</v>
      </c>
      <c r="N56" s="200">
        <f t="shared" si="11"/>
        <v>0</v>
      </c>
    </row>
    <row r="57" spans="2:14" x14ac:dyDescent="0.3">
      <c r="B57" s="140">
        <v>4200</v>
      </c>
      <c r="C57" s="200">
        <f t="shared" si="8"/>
        <v>0</v>
      </c>
      <c r="D57" s="200">
        <f t="shared" si="8"/>
        <v>0</v>
      </c>
      <c r="E57" s="200">
        <f t="shared" si="8"/>
        <v>0</v>
      </c>
      <c r="F57" s="200">
        <f t="shared" si="9"/>
        <v>0</v>
      </c>
      <c r="G57" s="200">
        <f t="shared" si="9"/>
        <v>0</v>
      </c>
      <c r="H57" s="200">
        <f t="shared" si="9"/>
        <v>0</v>
      </c>
      <c r="I57" s="200">
        <f t="shared" si="10"/>
        <v>0</v>
      </c>
      <c r="J57" s="200">
        <f t="shared" si="10"/>
        <v>0</v>
      </c>
      <c r="K57" s="200">
        <f t="shared" si="10"/>
        <v>0</v>
      </c>
      <c r="L57" s="200">
        <f t="shared" si="11"/>
        <v>0.186430523733146</v>
      </c>
      <c r="M57" s="200">
        <f t="shared" si="11"/>
        <v>2.9946837777223012E-2</v>
      </c>
      <c r="N57" s="200">
        <f t="shared" si="11"/>
        <v>0</v>
      </c>
    </row>
    <row r="58" spans="2:14" x14ac:dyDescent="0.3">
      <c r="B58" s="140">
        <v>4300</v>
      </c>
      <c r="C58" s="200">
        <f t="shared" si="8"/>
        <v>0</v>
      </c>
      <c r="D58" s="200">
        <f t="shared" si="8"/>
        <v>0</v>
      </c>
      <c r="E58" s="200">
        <f t="shared" si="8"/>
        <v>0</v>
      </c>
      <c r="F58" s="200">
        <f t="shared" si="9"/>
        <v>0</v>
      </c>
      <c r="G58" s="200">
        <f t="shared" si="9"/>
        <v>0</v>
      </c>
      <c r="H58" s="200">
        <f t="shared" si="9"/>
        <v>0</v>
      </c>
      <c r="I58" s="200">
        <f t="shared" si="10"/>
        <v>0</v>
      </c>
      <c r="J58" s="200">
        <f t="shared" si="10"/>
        <v>0</v>
      </c>
      <c r="K58" s="200">
        <f t="shared" si="10"/>
        <v>0</v>
      </c>
      <c r="L58" s="200">
        <f t="shared" si="11"/>
        <v>0.16705982191726854</v>
      </c>
      <c r="M58" s="200">
        <f t="shared" si="11"/>
        <v>6.8503339147759634E-3</v>
      </c>
      <c r="N58" s="200">
        <f t="shared" si="11"/>
        <v>0</v>
      </c>
    </row>
    <row r="59" spans="2:14" x14ac:dyDescent="0.3">
      <c r="B59" s="140">
        <v>4400</v>
      </c>
      <c r="C59" s="200">
        <f t="shared" si="8"/>
        <v>0</v>
      </c>
      <c r="D59" s="200">
        <f t="shared" si="8"/>
        <v>0</v>
      </c>
      <c r="E59" s="200">
        <f t="shared" si="8"/>
        <v>0</v>
      </c>
      <c r="F59" s="200">
        <f t="shared" si="9"/>
        <v>0</v>
      </c>
      <c r="G59" s="200">
        <f t="shared" si="9"/>
        <v>0</v>
      </c>
      <c r="H59" s="200">
        <f t="shared" si="9"/>
        <v>0</v>
      </c>
      <c r="I59" s="200">
        <f t="shared" si="10"/>
        <v>0</v>
      </c>
      <c r="J59" s="200">
        <f t="shared" si="10"/>
        <v>0</v>
      </c>
      <c r="K59" s="200">
        <f t="shared" si="10"/>
        <v>0</v>
      </c>
      <c r="L59" s="200">
        <f t="shared" si="11"/>
        <v>0.14768912010139107</v>
      </c>
      <c r="M59" s="200">
        <f t="shared" si="11"/>
        <v>0</v>
      </c>
      <c r="N59" s="200">
        <f t="shared" si="11"/>
        <v>0</v>
      </c>
    </row>
    <row r="60" spans="2:14" x14ac:dyDescent="0.3">
      <c r="B60" s="140">
        <v>4500</v>
      </c>
      <c r="C60" s="200">
        <f t="shared" si="8"/>
        <v>0</v>
      </c>
      <c r="D60" s="200">
        <f t="shared" si="8"/>
        <v>0</v>
      </c>
      <c r="E60" s="200">
        <f t="shared" si="8"/>
        <v>0</v>
      </c>
      <c r="F60" s="200">
        <f t="shared" si="9"/>
        <v>0</v>
      </c>
      <c r="G60" s="200">
        <f t="shared" si="9"/>
        <v>0</v>
      </c>
      <c r="H60" s="200">
        <f t="shared" si="9"/>
        <v>0</v>
      </c>
      <c r="I60" s="200">
        <f t="shared" si="10"/>
        <v>0</v>
      </c>
      <c r="J60" s="200">
        <f t="shared" si="10"/>
        <v>0</v>
      </c>
      <c r="K60" s="200">
        <f t="shared" si="10"/>
        <v>0</v>
      </c>
      <c r="L60" s="200">
        <f t="shared" si="11"/>
        <v>0.1283184182855136</v>
      </c>
      <c r="M60" s="200">
        <f t="shared" si="11"/>
        <v>0</v>
      </c>
      <c r="N60" s="200">
        <f t="shared" si="11"/>
        <v>0</v>
      </c>
    </row>
    <row r="61" spans="2:14" x14ac:dyDescent="0.3">
      <c r="B61" s="140">
        <v>4600</v>
      </c>
      <c r="C61" s="200">
        <f t="shared" si="8"/>
        <v>0</v>
      </c>
      <c r="D61" s="200">
        <f t="shared" si="8"/>
        <v>0</v>
      </c>
      <c r="E61" s="200">
        <f t="shared" si="8"/>
        <v>0</v>
      </c>
      <c r="F61" s="200">
        <f t="shared" si="9"/>
        <v>0</v>
      </c>
      <c r="G61" s="200">
        <f t="shared" si="9"/>
        <v>0</v>
      </c>
      <c r="H61" s="200">
        <f t="shared" si="9"/>
        <v>0</v>
      </c>
      <c r="I61" s="200">
        <f t="shared" si="10"/>
        <v>0</v>
      </c>
      <c r="J61" s="200">
        <f t="shared" si="10"/>
        <v>0</v>
      </c>
      <c r="K61" s="200">
        <f t="shared" si="10"/>
        <v>0</v>
      </c>
      <c r="L61" s="200">
        <f t="shared" si="11"/>
        <v>0.10894771646963614</v>
      </c>
      <c r="M61" s="200">
        <f t="shared" si="11"/>
        <v>0</v>
      </c>
      <c r="N61" s="200">
        <f t="shared" si="11"/>
        <v>0</v>
      </c>
    </row>
    <row r="62" spans="2:14" x14ac:dyDescent="0.3">
      <c r="B62" s="140">
        <v>4700</v>
      </c>
      <c r="C62" s="200">
        <f t="shared" si="8"/>
        <v>0</v>
      </c>
      <c r="D62" s="200">
        <f t="shared" si="8"/>
        <v>0</v>
      </c>
      <c r="E62" s="200">
        <f t="shared" si="8"/>
        <v>0</v>
      </c>
      <c r="F62" s="200">
        <f t="shared" si="9"/>
        <v>0</v>
      </c>
      <c r="G62" s="200">
        <f t="shared" si="9"/>
        <v>0</v>
      </c>
      <c r="H62" s="200">
        <f t="shared" si="9"/>
        <v>0</v>
      </c>
      <c r="I62" s="200">
        <f t="shared" si="10"/>
        <v>0</v>
      </c>
      <c r="J62" s="200">
        <f t="shared" si="10"/>
        <v>0</v>
      </c>
      <c r="K62" s="200">
        <f t="shared" si="10"/>
        <v>0</v>
      </c>
      <c r="L62" s="200">
        <f t="shared" si="11"/>
        <v>8.9577014653758669E-2</v>
      </c>
      <c r="M62" s="200">
        <f t="shared" si="11"/>
        <v>0</v>
      </c>
      <c r="N62" s="200">
        <f t="shared" si="11"/>
        <v>0</v>
      </c>
    </row>
    <row r="63" spans="2:14" x14ac:dyDescent="0.3">
      <c r="B63" s="140">
        <v>4800</v>
      </c>
      <c r="C63" s="200">
        <f t="shared" si="8"/>
        <v>0</v>
      </c>
      <c r="D63" s="200">
        <f t="shared" si="8"/>
        <v>0</v>
      </c>
      <c r="E63" s="200">
        <f t="shared" si="8"/>
        <v>0</v>
      </c>
      <c r="F63" s="200">
        <f t="shared" si="9"/>
        <v>0</v>
      </c>
      <c r="G63" s="200">
        <f t="shared" si="9"/>
        <v>0</v>
      </c>
      <c r="H63" s="200">
        <f t="shared" si="9"/>
        <v>0</v>
      </c>
      <c r="I63" s="200">
        <f t="shared" si="10"/>
        <v>0</v>
      </c>
      <c r="J63" s="200">
        <f t="shared" si="10"/>
        <v>0</v>
      </c>
      <c r="K63" s="200">
        <f t="shared" si="10"/>
        <v>0</v>
      </c>
      <c r="L63" s="200">
        <f t="shared" si="11"/>
        <v>7.0206312837881146E-2</v>
      </c>
      <c r="M63" s="200">
        <f t="shared" si="11"/>
        <v>0</v>
      </c>
      <c r="N63" s="200">
        <f t="shared" si="11"/>
        <v>0</v>
      </c>
    </row>
    <row r="64" spans="2:14" x14ac:dyDescent="0.3">
      <c r="B64" s="140">
        <v>4900</v>
      </c>
      <c r="C64" s="200">
        <f t="shared" si="8"/>
        <v>0</v>
      </c>
      <c r="D64" s="200">
        <f t="shared" si="8"/>
        <v>0</v>
      </c>
      <c r="E64" s="200">
        <f t="shared" si="8"/>
        <v>0</v>
      </c>
      <c r="F64" s="200">
        <f t="shared" si="9"/>
        <v>0</v>
      </c>
      <c r="G64" s="200">
        <f t="shared" si="9"/>
        <v>0</v>
      </c>
      <c r="H64" s="200">
        <f t="shared" si="9"/>
        <v>0</v>
      </c>
      <c r="I64" s="200">
        <f t="shared" si="10"/>
        <v>0</v>
      </c>
      <c r="J64" s="200">
        <f t="shared" si="10"/>
        <v>0</v>
      </c>
      <c r="K64" s="200">
        <f t="shared" si="10"/>
        <v>0</v>
      </c>
      <c r="L64" s="200">
        <f t="shared" si="11"/>
        <v>5.0835611022003735E-2</v>
      </c>
      <c r="M64" s="200">
        <f t="shared" si="11"/>
        <v>0</v>
      </c>
      <c r="N64" s="200">
        <f t="shared" si="11"/>
        <v>0</v>
      </c>
    </row>
    <row r="65" spans="2:14" x14ac:dyDescent="0.3">
      <c r="B65" s="140">
        <v>5000</v>
      </c>
      <c r="C65" s="200">
        <f t="shared" si="8"/>
        <v>0</v>
      </c>
      <c r="D65" s="200">
        <f t="shared" si="8"/>
        <v>0</v>
      </c>
      <c r="E65" s="200">
        <f t="shared" si="8"/>
        <v>0</v>
      </c>
      <c r="F65" s="200">
        <f t="shared" si="9"/>
        <v>0</v>
      </c>
      <c r="G65" s="200">
        <f t="shared" si="9"/>
        <v>0</v>
      </c>
      <c r="H65" s="200">
        <f t="shared" si="9"/>
        <v>0</v>
      </c>
      <c r="I65" s="200">
        <f t="shared" si="10"/>
        <v>0</v>
      </c>
      <c r="J65" s="200">
        <f t="shared" si="10"/>
        <v>0</v>
      </c>
      <c r="K65" s="200">
        <f t="shared" si="10"/>
        <v>0</v>
      </c>
      <c r="L65" s="200">
        <f t="shared" si="11"/>
        <v>3.1464909206126213E-2</v>
      </c>
      <c r="M65" s="200">
        <f t="shared" si="11"/>
        <v>0</v>
      </c>
      <c r="N65" s="200">
        <f t="shared" si="11"/>
        <v>0</v>
      </c>
    </row>
    <row r="66" spans="2:14" x14ac:dyDescent="0.3">
      <c r="B66" s="140">
        <v>5100</v>
      </c>
      <c r="C66" s="200">
        <f t="shared" si="8"/>
        <v>0</v>
      </c>
      <c r="D66" s="200">
        <f t="shared" si="8"/>
        <v>0</v>
      </c>
      <c r="E66" s="200">
        <f t="shared" si="8"/>
        <v>0</v>
      </c>
      <c r="F66" s="200">
        <f t="shared" si="9"/>
        <v>0</v>
      </c>
      <c r="G66" s="200">
        <f t="shared" si="9"/>
        <v>0</v>
      </c>
      <c r="H66" s="200">
        <f t="shared" si="9"/>
        <v>0</v>
      </c>
      <c r="I66" s="200">
        <f t="shared" si="10"/>
        <v>0</v>
      </c>
      <c r="J66" s="200">
        <f t="shared" si="10"/>
        <v>0</v>
      </c>
      <c r="K66" s="200">
        <f t="shared" si="10"/>
        <v>0</v>
      </c>
      <c r="L66" s="200">
        <f t="shared" si="11"/>
        <v>1.2094207390248801E-2</v>
      </c>
      <c r="M66" s="200">
        <f t="shared" si="11"/>
        <v>0</v>
      </c>
      <c r="N66" s="200">
        <f t="shared" si="11"/>
        <v>0</v>
      </c>
    </row>
    <row r="67" spans="2:14" x14ac:dyDescent="0.3">
      <c r="B67" s="140">
        <v>5200</v>
      </c>
      <c r="C67" s="200">
        <f t="shared" si="8"/>
        <v>0</v>
      </c>
      <c r="D67" s="200">
        <f t="shared" si="8"/>
        <v>0</v>
      </c>
      <c r="E67" s="200">
        <f t="shared" si="8"/>
        <v>0</v>
      </c>
      <c r="F67" s="200">
        <f t="shared" si="9"/>
        <v>0</v>
      </c>
      <c r="G67" s="200">
        <f t="shared" si="9"/>
        <v>0</v>
      </c>
      <c r="H67" s="200">
        <f t="shared" si="9"/>
        <v>0</v>
      </c>
      <c r="I67" s="200">
        <f t="shared" si="10"/>
        <v>0</v>
      </c>
      <c r="J67" s="200">
        <f t="shared" si="10"/>
        <v>0</v>
      </c>
      <c r="K67" s="200">
        <f t="shared" si="10"/>
        <v>0</v>
      </c>
      <c r="L67" s="200">
        <f t="shared" si="11"/>
        <v>0</v>
      </c>
      <c r="M67" s="200">
        <f t="shared" si="11"/>
        <v>0</v>
      </c>
      <c r="N67" s="200">
        <f t="shared" si="11"/>
        <v>0</v>
      </c>
    </row>
    <row r="68" spans="2:14" x14ac:dyDescent="0.3">
      <c r="B68" s="140">
        <v>5300</v>
      </c>
      <c r="C68" s="200">
        <f t="shared" si="8"/>
        <v>0</v>
      </c>
      <c r="D68" s="200">
        <f t="shared" si="8"/>
        <v>0</v>
      </c>
      <c r="E68" s="200">
        <f t="shared" si="8"/>
        <v>0</v>
      </c>
      <c r="F68" s="200">
        <f t="shared" si="9"/>
        <v>0</v>
      </c>
      <c r="G68" s="200">
        <f t="shared" si="9"/>
        <v>0</v>
      </c>
      <c r="H68" s="200">
        <f t="shared" si="9"/>
        <v>0</v>
      </c>
      <c r="I68" s="200">
        <f t="shared" si="10"/>
        <v>0</v>
      </c>
      <c r="J68" s="200">
        <f t="shared" si="10"/>
        <v>0</v>
      </c>
      <c r="K68" s="200">
        <f t="shared" si="10"/>
        <v>0</v>
      </c>
      <c r="L68" s="200">
        <f t="shared" si="11"/>
        <v>0</v>
      </c>
      <c r="M68" s="200">
        <f t="shared" si="11"/>
        <v>0</v>
      </c>
      <c r="N68" s="200">
        <f t="shared" si="11"/>
        <v>0</v>
      </c>
    </row>
    <row r="69" spans="2:14" x14ac:dyDescent="0.3">
      <c r="B69" s="140">
        <v>5400</v>
      </c>
      <c r="C69" s="200">
        <f t="shared" si="8"/>
        <v>0</v>
      </c>
      <c r="D69" s="200">
        <f t="shared" si="8"/>
        <v>0</v>
      </c>
      <c r="E69" s="200">
        <f t="shared" si="8"/>
        <v>0</v>
      </c>
      <c r="F69" s="200">
        <f t="shared" si="9"/>
        <v>0</v>
      </c>
      <c r="G69" s="200">
        <f t="shared" si="9"/>
        <v>0</v>
      </c>
      <c r="H69" s="200">
        <f t="shared" si="9"/>
        <v>0</v>
      </c>
      <c r="I69" s="200">
        <f t="shared" si="10"/>
        <v>0</v>
      </c>
      <c r="J69" s="200">
        <f t="shared" si="10"/>
        <v>0</v>
      </c>
      <c r="K69" s="200">
        <f t="shared" si="10"/>
        <v>0</v>
      </c>
      <c r="L69" s="200">
        <f t="shared" si="11"/>
        <v>0</v>
      </c>
      <c r="M69" s="200">
        <f t="shared" si="11"/>
        <v>0</v>
      </c>
      <c r="N69" s="200">
        <f t="shared" si="11"/>
        <v>0</v>
      </c>
    </row>
    <row r="70" spans="2:14" x14ac:dyDescent="0.3">
      <c r="B70" s="140">
        <v>5500</v>
      </c>
      <c r="C70" s="200">
        <f t="shared" si="8"/>
        <v>0</v>
      </c>
      <c r="D70" s="200">
        <f t="shared" si="8"/>
        <v>0</v>
      </c>
      <c r="E70" s="200">
        <f t="shared" si="8"/>
        <v>0</v>
      </c>
      <c r="F70" s="200">
        <f t="shared" si="9"/>
        <v>0</v>
      </c>
      <c r="G70" s="200">
        <f t="shared" si="9"/>
        <v>0</v>
      </c>
      <c r="H70" s="200">
        <f t="shared" si="9"/>
        <v>0</v>
      </c>
      <c r="I70" s="200">
        <f t="shared" si="10"/>
        <v>0</v>
      </c>
      <c r="J70" s="200">
        <f t="shared" si="10"/>
        <v>0</v>
      </c>
      <c r="K70" s="200">
        <f t="shared" si="10"/>
        <v>0</v>
      </c>
      <c r="L70" s="200">
        <f t="shared" si="11"/>
        <v>0</v>
      </c>
      <c r="M70" s="200">
        <f t="shared" si="11"/>
        <v>0</v>
      </c>
      <c r="N70" s="200">
        <f t="shared" si="11"/>
        <v>0</v>
      </c>
    </row>
    <row r="71" spans="2:14" x14ac:dyDescent="0.3">
      <c r="B71" s="140">
        <v>5600</v>
      </c>
      <c r="C71" s="200">
        <f t="shared" si="8"/>
        <v>0</v>
      </c>
      <c r="D71" s="200">
        <f t="shared" si="8"/>
        <v>0</v>
      </c>
      <c r="E71" s="200">
        <f t="shared" si="8"/>
        <v>0</v>
      </c>
      <c r="F71" s="200">
        <f t="shared" si="9"/>
        <v>0</v>
      </c>
      <c r="G71" s="200">
        <f t="shared" si="9"/>
        <v>0</v>
      </c>
      <c r="H71" s="200">
        <f t="shared" si="9"/>
        <v>0</v>
      </c>
      <c r="I71" s="200">
        <f t="shared" si="10"/>
        <v>0</v>
      </c>
      <c r="J71" s="200">
        <f t="shared" si="10"/>
        <v>0</v>
      </c>
      <c r="K71" s="200">
        <f t="shared" si="10"/>
        <v>0</v>
      </c>
      <c r="L71" s="200">
        <f t="shared" si="11"/>
        <v>0</v>
      </c>
      <c r="M71" s="200">
        <f t="shared" si="11"/>
        <v>0</v>
      </c>
      <c r="N71" s="200">
        <f t="shared" si="11"/>
        <v>0</v>
      </c>
    </row>
    <row r="72" spans="2:14" x14ac:dyDescent="0.3">
      <c r="B72" s="140">
        <v>5700</v>
      </c>
      <c r="C72" s="200">
        <f t="shared" si="8"/>
        <v>0</v>
      </c>
      <c r="D72" s="200">
        <f t="shared" si="8"/>
        <v>0</v>
      </c>
      <c r="E72" s="200">
        <f t="shared" si="8"/>
        <v>0</v>
      </c>
      <c r="F72" s="200">
        <f t="shared" si="9"/>
        <v>0</v>
      </c>
      <c r="G72" s="200">
        <f t="shared" si="9"/>
        <v>0</v>
      </c>
      <c r="H72" s="200">
        <f t="shared" si="9"/>
        <v>0</v>
      </c>
      <c r="I72" s="200">
        <f t="shared" si="10"/>
        <v>0</v>
      </c>
      <c r="J72" s="200">
        <f t="shared" si="10"/>
        <v>0</v>
      </c>
      <c r="K72" s="200">
        <f t="shared" si="10"/>
        <v>0</v>
      </c>
      <c r="L72" s="200">
        <f t="shared" si="11"/>
        <v>0</v>
      </c>
      <c r="M72" s="200">
        <f t="shared" si="11"/>
        <v>0</v>
      </c>
      <c r="N72" s="200">
        <f t="shared" si="11"/>
        <v>0</v>
      </c>
    </row>
    <row r="73" spans="2:14" x14ac:dyDescent="0.3">
      <c r="B73" s="140">
        <v>5800</v>
      </c>
      <c r="C73" s="200">
        <f t="shared" si="8"/>
        <v>0</v>
      </c>
      <c r="D73" s="200">
        <f t="shared" si="8"/>
        <v>0</v>
      </c>
      <c r="E73" s="200">
        <f t="shared" si="8"/>
        <v>0</v>
      </c>
      <c r="F73" s="200">
        <f t="shared" si="9"/>
        <v>0</v>
      </c>
      <c r="G73" s="200">
        <f t="shared" si="9"/>
        <v>0</v>
      </c>
      <c r="H73" s="200">
        <f t="shared" si="9"/>
        <v>0</v>
      </c>
      <c r="I73" s="200">
        <f t="shared" si="10"/>
        <v>0</v>
      </c>
      <c r="J73" s="200">
        <f t="shared" si="10"/>
        <v>0</v>
      </c>
      <c r="K73" s="200">
        <f t="shared" si="10"/>
        <v>0</v>
      </c>
      <c r="L73" s="200">
        <f t="shared" si="11"/>
        <v>0</v>
      </c>
      <c r="M73" s="200">
        <f t="shared" si="11"/>
        <v>0</v>
      </c>
      <c r="N73" s="200">
        <f t="shared" si="11"/>
        <v>0</v>
      </c>
    </row>
    <row r="74" spans="2:14" x14ac:dyDescent="0.3">
      <c r="B74" s="140">
        <v>5900</v>
      </c>
      <c r="C74" s="200">
        <f t="shared" si="8"/>
        <v>0</v>
      </c>
      <c r="D74" s="200">
        <f t="shared" si="8"/>
        <v>0</v>
      </c>
      <c r="E74" s="200">
        <f t="shared" si="8"/>
        <v>0</v>
      </c>
      <c r="F74" s="200">
        <f t="shared" si="9"/>
        <v>0</v>
      </c>
      <c r="G74" s="200">
        <f t="shared" si="9"/>
        <v>0</v>
      </c>
      <c r="H74" s="200">
        <f t="shared" si="9"/>
        <v>0</v>
      </c>
      <c r="I74" s="200">
        <f t="shared" si="10"/>
        <v>0</v>
      </c>
      <c r="J74" s="200">
        <f t="shared" si="10"/>
        <v>0</v>
      </c>
      <c r="K74" s="200">
        <f t="shared" si="10"/>
        <v>0</v>
      </c>
      <c r="L74" s="200">
        <f t="shared" si="11"/>
        <v>0</v>
      </c>
      <c r="M74" s="200">
        <f t="shared" si="11"/>
        <v>0</v>
      </c>
      <c r="N74" s="200">
        <f t="shared" si="11"/>
        <v>0</v>
      </c>
    </row>
    <row r="75" spans="2:14" x14ac:dyDescent="0.3">
      <c r="B75" s="140">
        <v>6000</v>
      </c>
      <c r="C75" s="200">
        <f t="shared" si="8"/>
        <v>0</v>
      </c>
      <c r="D75" s="200">
        <f t="shared" si="8"/>
        <v>0</v>
      </c>
      <c r="E75" s="200">
        <f t="shared" si="8"/>
        <v>0</v>
      </c>
      <c r="F75" s="200">
        <f t="shared" si="9"/>
        <v>0</v>
      </c>
      <c r="G75" s="200">
        <f t="shared" si="9"/>
        <v>0</v>
      </c>
      <c r="H75" s="200">
        <f t="shared" si="9"/>
        <v>0</v>
      </c>
      <c r="I75" s="200">
        <f t="shared" si="10"/>
        <v>0</v>
      </c>
      <c r="J75" s="200">
        <f t="shared" si="10"/>
        <v>0</v>
      </c>
      <c r="K75" s="200">
        <f t="shared" si="10"/>
        <v>0</v>
      </c>
      <c r="L75" s="200">
        <f t="shared" si="11"/>
        <v>0</v>
      </c>
      <c r="M75" s="200">
        <f t="shared" si="11"/>
        <v>0</v>
      </c>
      <c r="N75" s="200">
        <f t="shared" si="11"/>
        <v>0</v>
      </c>
    </row>
    <row r="76" spans="2:14" x14ac:dyDescent="0.3">
      <c r="B76" s="140">
        <v>6100</v>
      </c>
      <c r="C76" s="200">
        <f t="shared" si="8"/>
        <v>0</v>
      </c>
      <c r="D76" s="200">
        <f t="shared" si="8"/>
        <v>0</v>
      </c>
      <c r="E76" s="200">
        <f t="shared" si="8"/>
        <v>0</v>
      </c>
      <c r="F76" s="200">
        <f t="shared" si="9"/>
        <v>0</v>
      </c>
      <c r="G76" s="200">
        <f t="shared" si="9"/>
        <v>0</v>
      </c>
      <c r="H76" s="200">
        <f t="shared" si="9"/>
        <v>0</v>
      </c>
      <c r="I76" s="200">
        <f t="shared" si="10"/>
        <v>0</v>
      </c>
      <c r="J76" s="200">
        <f t="shared" si="10"/>
        <v>0</v>
      </c>
      <c r="K76" s="200">
        <f t="shared" si="10"/>
        <v>0</v>
      </c>
      <c r="L76" s="200">
        <f t="shared" si="11"/>
        <v>0</v>
      </c>
      <c r="M76" s="200">
        <f t="shared" si="11"/>
        <v>0</v>
      </c>
      <c r="N76" s="200">
        <f t="shared" si="11"/>
        <v>0</v>
      </c>
    </row>
    <row r="77" spans="2:14" x14ac:dyDescent="0.3">
      <c r="B77" s="140">
        <v>6200</v>
      </c>
      <c r="C77" s="200">
        <f t="shared" si="8"/>
        <v>0</v>
      </c>
      <c r="D77" s="200">
        <f t="shared" si="8"/>
        <v>0</v>
      </c>
      <c r="E77" s="200">
        <f t="shared" si="8"/>
        <v>0</v>
      </c>
      <c r="F77" s="200">
        <f t="shared" si="9"/>
        <v>0</v>
      </c>
      <c r="G77" s="200">
        <f t="shared" si="9"/>
        <v>0</v>
      </c>
      <c r="H77" s="200">
        <f t="shared" si="9"/>
        <v>0</v>
      </c>
      <c r="I77" s="200">
        <f t="shared" si="10"/>
        <v>0</v>
      </c>
      <c r="J77" s="200">
        <f t="shared" si="10"/>
        <v>0</v>
      </c>
      <c r="K77" s="200">
        <f t="shared" si="10"/>
        <v>0</v>
      </c>
      <c r="L77" s="200">
        <f t="shared" si="11"/>
        <v>0</v>
      </c>
      <c r="M77" s="200">
        <f t="shared" si="11"/>
        <v>0</v>
      </c>
      <c r="N77" s="200">
        <f t="shared" si="11"/>
        <v>0</v>
      </c>
    </row>
    <row r="78" spans="2:14" x14ac:dyDescent="0.3">
      <c r="B78" s="140">
        <v>6300</v>
      </c>
      <c r="C78" s="200">
        <f t="shared" si="8"/>
        <v>0</v>
      </c>
      <c r="D78" s="200">
        <f t="shared" si="8"/>
        <v>0</v>
      </c>
      <c r="E78" s="200">
        <f t="shared" si="8"/>
        <v>0</v>
      </c>
      <c r="F78" s="200">
        <f t="shared" si="9"/>
        <v>0</v>
      </c>
      <c r="G78" s="200">
        <f t="shared" si="9"/>
        <v>0</v>
      </c>
      <c r="H78" s="200">
        <f t="shared" si="9"/>
        <v>0</v>
      </c>
      <c r="I78" s="200">
        <f t="shared" si="10"/>
        <v>0</v>
      </c>
      <c r="J78" s="200">
        <f t="shared" si="10"/>
        <v>0</v>
      </c>
      <c r="K78" s="200">
        <f t="shared" si="10"/>
        <v>0</v>
      </c>
      <c r="L78" s="200">
        <f t="shared" si="11"/>
        <v>0</v>
      </c>
      <c r="M78" s="200">
        <f t="shared" si="11"/>
        <v>0</v>
      </c>
      <c r="N78" s="200">
        <f t="shared" si="11"/>
        <v>0</v>
      </c>
    </row>
    <row r="79" spans="2:14" x14ac:dyDescent="0.3">
      <c r="B79" s="140">
        <v>6400</v>
      </c>
      <c r="C79" s="200">
        <f t="shared" si="8"/>
        <v>0</v>
      </c>
      <c r="D79" s="200">
        <f t="shared" si="8"/>
        <v>0</v>
      </c>
      <c r="E79" s="200">
        <f t="shared" si="8"/>
        <v>0</v>
      </c>
      <c r="F79" s="200">
        <f t="shared" si="9"/>
        <v>0</v>
      </c>
      <c r="G79" s="200">
        <f t="shared" si="9"/>
        <v>0</v>
      </c>
      <c r="H79" s="200">
        <f t="shared" si="9"/>
        <v>0</v>
      </c>
      <c r="I79" s="200">
        <f t="shared" si="10"/>
        <v>0</v>
      </c>
      <c r="J79" s="200">
        <f t="shared" si="10"/>
        <v>0</v>
      </c>
      <c r="K79" s="200">
        <f t="shared" si="10"/>
        <v>0</v>
      </c>
      <c r="L79" s="200">
        <f t="shared" si="11"/>
        <v>0</v>
      </c>
      <c r="M79" s="200">
        <f t="shared" si="11"/>
        <v>0</v>
      </c>
      <c r="N79" s="200">
        <f t="shared" si="11"/>
        <v>0</v>
      </c>
    </row>
    <row r="80" spans="2:14" x14ac:dyDescent="0.3">
      <c r="B80" s="140">
        <v>6500</v>
      </c>
      <c r="C80" s="200">
        <f t="shared" si="8"/>
        <v>0</v>
      </c>
      <c r="D80" s="200">
        <f t="shared" si="8"/>
        <v>0</v>
      </c>
      <c r="E80" s="200">
        <f t="shared" si="8"/>
        <v>0</v>
      </c>
      <c r="F80" s="200">
        <f t="shared" si="9"/>
        <v>0</v>
      </c>
      <c r="G80" s="200">
        <f t="shared" si="9"/>
        <v>0</v>
      </c>
      <c r="H80" s="200">
        <f t="shared" si="9"/>
        <v>0</v>
      </c>
      <c r="I80" s="200">
        <f t="shared" si="10"/>
        <v>0</v>
      </c>
      <c r="J80" s="200">
        <f t="shared" si="10"/>
        <v>0</v>
      </c>
      <c r="K80" s="200">
        <f t="shared" si="10"/>
        <v>0</v>
      </c>
      <c r="L80" s="200">
        <f t="shared" si="11"/>
        <v>0</v>
      </c>
      <c r="M80" s="200">
        <f t="shared" si="11"/>
        <v>0</v>
      </c>
      <c r="N80" s="200">
        <f t="shared" si="11"/>
        <v>0</v>
      </c>
    </row>
    <row r="81" spans="2:14" x14ac:dyDescent="0.3">
      <c r="B81" s="140">
        <v>6600</v>
      </c>
      <c r="C81" s="200">
        <f t="shared" ref="C81:E115" si="12">MAX(0,1-$B81*(MAX(0.75,POWER(C$15/$C$4,2)))/$C$3-$B81*$C$12)</f>
        <v>0</v>
      </c>
      <c r="D81" s="200">
        <f t="shared" si="12"/>
        <v>0</v>
      </c>
      <c r="E81" s="200">
        <f t="shared" si="12"/>
        <v>0</v>
      </c>
      <c r="F81" s="200">
        <f t="shared" ref="F81:H115" si="13">MAX(0,1-$B81*(MAX(0.75,POWER(F$15/$E$4,2)))/$E$3-$B81*$E$12)</f>
        <v>0</v>
      </c>
      <c r="G81" s="200">
        <f t="shared" si="13"/>
        <v>0</v>
      </c>
      <c r="H81" s="200">
        <f t="shared" si="13"/>
        <v>0</v>
      </c>
      <c r="I81" s="200">
        <f t="shared" ref="I81:K115" si="14">MAX(0,1-$B81*(MAX(0.75,POWER(I$15/$G$4,2)))/$G$3-$B81*$G$12)</f>
        <v>0</v>
      </c>
      <c r="J81" s="200">
        <f t="shared" si="14"/>
        <v>0</v>
      </c>
      <c r="K81" s="200">
        <f t="shared" si="14"/>
        <v>0</v>
      </c>
      <c r="L81" s="200">
        <f t="shared" ref="L81:N115" si="15">MAX(0,1-$B81*(MAX(0.75,POWER(L$15/$I$4,2)))/$I$3-$B81*$I$12)</f>
        <v>0</v>
      </c>
      <c r="M81" s="200">
        <f t="shared" si="15"/>
        <v>0</v>
      </c>
      <c r="N81" s="200">
        <f t="shared" si="15"/>
        <v>0</v>
      </c>
    </row>
    <row r="82" spans="2:14" x14ac:dyDescent="0.3">
      <c r="B82" s="140">
        <v>6700</v>
      </c>
      <c r="C82" s="200">
        <f t="shared" si="12"/>
        <v>0</v>
      </c>
      <c r="D82" s="200">
        <f t="shared" si="12"/>
        <v>0</v>
      </c>
      <c r="E82" s="200">
        <f t="shared" si="12"/>
        <v>0</v>
      </c>
      <c r="F82" s="200">
        <f t="shared" si="13"/>
        <v>0</v>
      </c>
      <c r="G82" s="200">
        <f t="shared" si="13"/>
        <v>0</v>
      </c>
      <c r="H82" s="200">
        <f t="shared" si="13"/>
        <v>0</v>
      </c>
      <c r="I82" s="200">
        <f t="shared" si="14"/>
        <v>0</v>
      </c>
      <c r="J82" s="200">
        <f t="shared" si="14"/>
        <v>0</v>
      </c>
      <c r="K82" s="200">
        <f t="shared" si="14"/>
        <v>0</v>
      </c>
      <c r="L82" s="200">
        <f t="shared" si="15"/>
        <v>0</v>
      </c>
      <c r="M82" s="200">
        <f t="shared" si="15"/>
        <v>0</v>
      </c>
      <c r="N82" s="200">
        <f t="shared" si="15"/>
        <v>0</v>
      </c>
    </row>
    <row r="83" spans="2:14" x14ac:dyDescent="0.3">
      <c r="B83" s="140">
        <v>6800</v>
      </c>
      <c r="C83" s="200">
        <f t="shared" si="12"/>
        <v>0</v>
      </c>
      <c r="D83" s="200">
        <f t="shared" si="12"/>
        <v>0</v>
      </c>
      <c r="E83" s="200">
        <f t="shared" si="12"/>
        <v>0</v>
      </c>
      <c r="F83" s="200">
        <f t="shared" si="13"/>
        <v>0</v>
      </c>
      <c r="G83" s="200">
        <f t="shared" si="13"/>
        <v>0</v>
      </c>
      <c r="H83" s="200">
        <f t="shared" si="13"/>
        <v>0</v>
      </c>
      <c r="I83" s="200">
        <f t="shared" si="14"/>
        <v>0</v>
      </c>
      <c r="J83" s="200">
        <f t="shared" si="14"/>
        <v>0</v>
      </c>
      <c r="K83" s="200">
        <f t="shared" si="14"/>
        <v>0</v>
      </c>
      <c r="L83" s="200">
        <f t="shared" si="15"/>
        <v>0</v>
      </c>
      <c r="M83" s="200">
        <f t="shared" si="15"/>
        <v>0</v>
      </c>
      <c r="N83" s="200">
        <f t="shared" si="15"/>
        <v>0</v>
      </c>
    </row>
    <row r="84" spans="2:14" x14ac:dyDescent="0.3">
      <c r="B84" s="140">
        <v>6900</v>
      </c>
      <c r="C84" s="200">
        <f t="shared" si="12"/>
        <v>0</v>
      </c>
      <c r="D84" s="200">
        <f t="shared" si="12"/>
        <v>0</v>
      </c>
      <c r="E84" s="200">
        <f t="shared" si="12"/>
        <v>0</v>
      </c>
      <c r="F84" s="200">
        <f t="shared" si="13"/>
        <v>0</v>
      </c>
      <c r="G84" s="200">
        <f t="shared" si="13"/>
        <v>0</v>
      </c>
      <c r="H84" s="200">
        <f t="shared" si="13"/>
        <v>0</v>
      </c>
      <c r="I84" s="200">
        <f t="shared" si="14"/>
        <v>0</v>
      </c>
      <c r="J84" s="200">
        <f t="shared" si="14"/>
        <v>0</v>
      </c>
      <c r="K84" s="200">
        <f t="shared" si="14"/>
        <v>0</v>
      </c>
      <c r="L84" s="200">
        <f t="shared" si="15"/>
        <v>0</v>
      </c>
      <c r="M84" s="200">
        <f t="shared" si="15"/>
        <v>0</v>
      </c>
      <c r="N84" s="200">
        <f t="shared" si="15"/>
        <v>0</v>
      </c>
    </row>
    <row r="85" spans="2:14" x14ac:dyDescent="0.3">
      <c r="B85" s="140">
        <v>7000</v>
      </c>
      <c r="C85" s="200">
        <f t="shared" si="12"/>
        <v>0</v>
      </c>
      <c r="D85" s="200">
        <f t="shared" si="12"/>
        <v>0</v>
      </c>
      <c r="E85" s="200">
        <f t="shared" si="12"/>
        <v>0</v>
      </c>
      <c r="F85" s="200">
        <f t="shared" si="13"/>
        <v>0</v>
      </c>
      <c r="G85" s="200">
        <f t="shared" si="13"/>
        <v>0</v>
      </c>
      <c r="H85" s="200">
        <f t="shared" si="13"/>
        <v>0</v>
      </c>
      <c r="I85" s="200">
        <f t="shared" si="14"/>
        <v>0</v>
      </c>
      <c r="J85" s="200">
        <f t="shared" si="14"/>
        <v>0</v>
      </c>
      <c r="K85" s="200">
        <f t="shared" si="14"/>
        <v>0</v>
      </c>
      <c r="L85" s="200">
        <f t="shared" si="15"/>
        <v>0</v>
      </c>
      <c r="M85" s="200">
        <f t="shared" si="15"/>
        <v>0</v>
      </c>
      <c r="N85" s="200">
        <f t="shared" si="15"/>
        <v>0</v>
      </c>
    </row>
    <row r="86" spans="2:14" x14ac:dyDescent="0.3">
      <c r="B86" s="140">
        <v>7100</v>
      </c>
      <c r="C86" s="200">
        <f t="shared" si="12"/>
        <v>0</v>
      </c>
      <c r="D86" s="200">
        <f t="shared" si="12"/>
        <v>0</v>
      </c>
      <c r="E86" s="200">
        <f t="shared" si="12"/>
        <v>0</v>
      </c>
      <c r="F86" s="200">
        <f t="shared" si="13"/>
        <v>0</v>
      </c>
      <c r="G86" s="200">
        <f t="shared" si="13"/>
        <v>0</v>
      </c>
      <c r="H86" s="200">
        <f t="shared" si="13"/>
        <v>0</v>
      </c>
      <c r="I86" s="200">
        <f t="shared" si="14"/>
        <v>0</v>
      </c>
      <c r="J86" s="200">
        <f t="shared" si="14"/>
        <v>0</v>
      </c>
      <c r="K86" s="200">
        <f t="shared" si="14"/>
        <v>0</v>
      </c>
      <c r="L86" s="200">
        <f t="shared" si="15"/>
        <v>0</v>
      </c>
      <c r="M86" s="200">
        <f t="shared" si="15"/>
        <v>0</v>
      </c>
      <c r="N86" s="200">
        <f t="shared" si="15"/>
        <v>0</v>
      </c>
    </row>
    <row r="87" spans="2:14" x14ac:dyDescent="0.3">
      <c r="B87" s="140">
        <v>7200</v>
      </c>
      <c r="C87" s="200">
        <f t="shared" si="12"/>
        <v>0</v>
      </c>
      <c r="D87" s="200">
        <f t="shared" si="12"/>
        <v>0</v>
      </c>
      <c r="E87" s="200">
        <f t="shared" si="12"/>
        <v>0</v>
      </c>
      <c r="F87" s="200">
        <f t="shared" si="13"/>
        <v>0</v>
      </c>
      <c r="G87" s="200">
        <f t="shared" si="13"/>
        <v>0</v>
      </c>
      <c r="H87" s="200">
        <f t="shared" si="13"/>
        <v>0</v>
      </c>
      <c r="I87" s="200">
        <f t="shared" si="14"/>
        <v>0</v>
      </c>
      <c r="J87" s="200">
        <f t="shared" si="14"/>
        <v>0</v>
      </c>
      <c r="K87" s="200">
        <f t="shared" si="14"/>
        <v>0</v>
      </c>
      <c r="L87" s="200">
        <f t="shared" si="15"/>
        <v>0</v>
      </c>
      <c r="M87" s="200">
        <f t="shared" si="15"/>
        <v>0</v>
      </c>
      <c r="N87" s="200">
        <f t="shared" si="15"/>
        <v>0</v>
      </c>
    </row>
    <row r="88" spans="2:14" x14ac:dyDescent="0.3">
      <c r="B88" s="140">
        <v>7300</v>
      </c>
      <c r="C88" s="200">
        <f t="shared" si="12"/>
        <v>0</v>
      </c>
      <c r="D88" s="200">
        <f t="shared" si="12"/>
        <v>0</v>
      </c>
      <c r="E88" s="200">
        <f t="shared" si="12"/>
        <v>0</v>
      </c>
      <c r="F88" s="200">
        <f t="shared" si="13"/>
        <v>0</v>
      </c>
      <c r="G88" s="200">
        <f t="shared" si="13"/>
        <v>0</v>
      </c>
      <c r="H88" s="200">
        <f t="shared" si="13"/>
        <v>0</v>
      </c>
      <c r="I88" s="200">
        <f t="shared" si="14"/>
        <v>0</v>
      </c>
      <c r="J88" s="200">
        <f t="shared" si="14"/>
        <v>0</v>
      </c>
      <c r="K88" s="200">
        <f t="shared" si="14"/>
        <v>0</v>
      </c>
      <c r="L88" s="200">
        <f t="shared" si="15"/>
        <v>0</v>
      </c>
      <c r="M88" s="200">
        <f t="shared" si="15"/>
        <v>0</v>
      </c>
      <c r="N88" s="200">
        <f t="shared" si="15"/>
        <v>0</v>
      </c>
    </row>
    <row r="89" spans="2:14" x14ac:dyDescent="0.3">
      <c r="B89" s="140">
        <v>7400</v>
      </c>
      <c r="C89" s="200">
        <f t="shared" si="12"/>
        <v>0</v>
      </c>
      <c r="D89" s="200">
        <f t="shared" si="12"/>
        <v>0</v>
      </c>
      <c r="E89" s="200">
        <f t="shared" si="12"/>
        <v>0</v>
      </c>
      <c r="F89" s="200">
        <f t="shared" si="13"/>
        <v>0</v>
      </c>
      <c r="G89" s="200">
        <f t="shared" si="13"/>
        <v>0</v>
      </c>
      <c r="H89" s="200">
        <f t="shared" si="13"/>
        <v>0</v>
      </c>
      <c r="I89" s="200">
        <f t="shared" si="14"/>
        <v>0</v>
      </c>
      <c r="J89" s="200">
        <f t="shared" si="14"/>
        <v>0</v>
      </c>
      <c r="K89" s="200">
        <f t="shared" si="14"/>
        <v>0</v>
      </c>
      <c r="L89" s="200">
        <f t="shared" si="15"/>
        <v>0</v>
      </c>
      <c r="M89" s="200">
        <f t="shared" si="15"/>
        <v>0</v>
      </c>
      <c r="N89" s="200">
        <f t="shared" si="15"/>
        <v>0</v>
      </c>
    </row>
    <row r="90" spans="2:14" x14ac:dyDescent="0.3">
      <c r="B90" s="140">
        <v>7500</v>
      </c>
      <c r="C90" s="200">
        <f t="shared" si="12"/>
        <v>0</v>
      </c>
      <c r="D90" s="200">
        <f t="shared" si="12"/>
        <v>0</v>
      </c>
      <c r="E90" s="200">
        <f t="shared" si="12"/>
        <v>0</v>
      </c>
      <c r="F90" s="200">
        <f t="shared" si="13"/>
        <v>0</v>
      </c>
      <c r="G90" s="200">
        <f t="shared" si="13"/>
        <v>0</v>
      </c>
      <c r="H90" s="200">
        <f t="shared" si="13"/>
        <v>0</v>
      </c>
      <c r="I90" s="200">
        <f t="shared" si="14"/>
        <v>0</v>
      </c>
      <c r="J90" s="200">
        <f t="shared" si="14"/>
        <v>0</v>
      </c>
      <c r="K90" s="200">
        <f t="shared" si="14"/>
        <v>0</v>
      </c>
      <c r="L90" s="200">
        <f t="shared" si="15"/>
        <v>0</v>
      </c>
      <c r="M90" s="200">
        <f t="shared" si="15"/>
        <v>0</v>
      </c>
      <c r="N90" s="200">
        <f t="shared" si="15"/>
        <v>0</v>
      </c>
    </row>
    <row r="91" spans="2:14" x14ac:dyDescent="0.3">
      <c r="B91" s="140">
        <v>7600</v>
      </c>
      <c r="C91" s="200">
        <f t="shared" si="12"/>
        <v>0</v>
      </c>
      <c r="D91" s="200">
        <f t="shared" si="12"/>
        <v>0</v>
      </c>
      <c r="E91" s="200">
        <f t="shared" si="12"/>
        <v>0</v>
      </c>
      <c r="F91" s="200">
        <f t="shared" si="13"/>
        <v>0</v>
      </c>
      <c r="G91" s="200">
        <f t="shared" si="13"/>
        <v>0</v>
      </c>
      <c r="H91" s="200">
        <f t="shared" si="13"/>
        <v>0</v>
      </c>
      <c r="I91" s="200">
        <f t="shared" si="14"/>
        <v>0</v>
      </c>
      <c r="J91" s="200">
        <f t="shared" si="14"/>
        <v>0</v>
      </c>
      <c r="K91" s="200">
        <f t="shared" si="14"/>
        <v>0</v>
      </c>
      <c r="L91" s="200">
        <f t="shared" si="15"/>
        <v>0</v>
      </c>
      <c r="M91" s="200">
        <f t="shared" si="15"/>
        <v>0</v>
      </c>
      <c r="N91" s="200">
        <f t="shared" si="15"/>
        <v>0</v>
      </c>
    </row>
    <row r="92" spans="2:14" x14ac:dyDescent="0.3">
      <c r="B92" s="140">
        <v>7700</v>
      </c>
      <c r="C92" s="200">
        <f t="shared" si="12"/>
        <v>0</v>
      </c>
      <c r="D92" s="200">
        <f t="shared" si="12"/>
        <v>0</v>
      </c>
      <c r="E92" s="200">
        <f t="shared" si="12"/>
        <v>0</v>
      </c>
      <c r="F92" s="200">
        <f t="shared" si="13"/>
        <v>0</v>
      </c>
      <c r="G92" s="200">
        <f t="shared" si="13"/>
        <v>0</v>
      </c>
      <c r="H92" s="200">
        <f t="shared" si="13"/>
        <v>0</v>
      </c>
      <c r="I92" s="200">
        <f t="shared" si="14"/>
        <v>0</v>
      </c>
      <c r="J92" s="200">
        <f t="shared" si="14"/>
        <v>0</v>
      </c>
      <c r="K92" s="200">
        <f t="shared" si="14"/>
        <v>0</v>
      </c>
      <c r="L92" s="200">
        <f t="shared" si="15"/>
        <v>0</v>
      </c>
      <c r="M92" s="200">
        <f t="shared" si="15"/>
        <v>0</v>
      </c>
      <c r="N92" s="200">
        <f t="shared" si="15"/>
        <v>0</v>
      </c>
    </row>
    <row r="93" spans="2:14" x14ac:dyDescent="0.3">
      <c r="B93" s="140">
        <v>7800</v>
      </c>
      <c r="C93" s="200">
        <f t="shared" si="12"/>
        <v>0</v>
      </c>
      <c r="D93" s="200">
        <f t="shared" si="12"/>
        <v>0</v>
      </c>
      <c r="E93" s="200">
        <f t="shared" si="12"/>
        <v>0</v>
      </c>
      <c r="F93" s="200">
        <f t="shared" si="13"/>
        <v>0</v>
      </c>
      <c r="G93" s="200">
        <f t="shared" si="13"/>
        <v>0</v>
      </c>
      <c r="H93" s="200">
        <f t="shared" si="13"/>
        <v>0</v>
      </c>
      <c r="I93" s="200">
        <f t="shared" si="14"/>
        <v>0</v>
      </c>
      <c r="J93" s="200">
        <f t="shared" si="14"/>
        <v>0</v>
      </c>
      <c r="K93" s="200">
        <f t="shared" si="14"/>
        <v>0</v>
      </c>
      <c r="L93" s="200">
        <f t="shared" si="15"/>
        <v>0</v>
      </c>
      <c r="M93" s="200">
        <f t="shared" si="15"/>
        <v>0</v>
      </c>
      <c r="N93" s="200">
        <f t="shared" si="15"/>
        <v>0</v>
      </c>
    </row>
    <row r="94" spans="2:14" x14ac:dyDescent="0.3">
      <c r="B94" s="140">
        <v>7900</v>
      </c>
      <c r="C94" s="200">
        <f t="shared" si="12"/>
        <v>0</v>
      </c>
      <c r="D94" s="200">
        <f t="shared" si="12"/>
        <v>0</v>
      </c>
      <c r="E94" s="200">
        <f t="shared" si="12"/>
        <v>0</v>
      </c>
      <c r="F94" s="200">
        <f t="shared" si="13"/>
        <v>0</v>
      </c>
      <c r="G94" s="200">
        <f t="shared" si="13"/>
        <v>0</v>
      </c>
      <c r="H94" s="200">
        <f t="shared" si="13"/>
        <v>0</v>
      </c>
      <c r="I94" s="200">
        <f t="shared" si="14"/>
        <v>0</v>
      </c>
      <c r="J94" s="200">
        <f t="shared" si="14"/>
        <v>0</v>
      </c>
      <c r="K94" s="200">
        <f t="shared" si="14"/>
        <v>0</v>
      </c>
      <c r="L94" s="200">
        <f t="shared" si="15"/>
        <v>0</v>
      </c>
      <c r="M94" s="200">
        <f t="shared" si="15"/>
        <v>0</v>
      </c>
      <c r="N94" s="200">
        <f t="shared" si="15"/>
        <v>0</v>
      </c>
    </row>
    <row r="95" spans="2:14" x14ac:dyDescent="0.3">
      <c r="B95" s="140">
        <v>8000</v>
      </c>
      <c r="C95" s="200">
        <f t="shared" si="12"/>
        <v>0</v>
      </c>
      <c r="D95" s="200">
        <f t="shared" si="12"/>
        <v>0</v>
      </c>
      <c r="E95" s="200">
        <f t="shared" si="12"/>
        <v>0</v>
      </c>
      <c r="F95" s="200">
        <f t="shared" si="13"/>
        <v>0</v>
      </c>
      <c r="G95" s="200">
        <f t="shared" si="13"/>
        <v>0</v>
      </c>
      <c r="H95" s="200">
        <f t="shared" si="13"/>
        <v>0</v>
      </c>
      <c r="I95" s="200">
        <f t="shared" si="14"/>
        <v>0</v>
      </c>
      <c r="J95" s="200">
        <f t="shared" si="14"/>
        <v>0</v>
      </c>
      <c r="K95" s="200">
        <f t="shared" si="14"/>
        <v>0</v>
      </c>
      <c r="L95" s="200">
        <f t="shared" si="15"/>
        <v>0</v>
      </c>
      <c r="M95" s="200">
        <f t="shared" si="15"/>
        <v>0</v>
      </c>
      <c r="N95" s="200">
        <f t="shared" si="15"/>
        <v>0</v>
      </c>
    </row>
    <row r="96" spans="2:14" x14ac:dyDescent="0.3">
      <c r="B96" s="140">
        <v>8100</v>
      </c>
      <c r="C96" s="200">
        <f t="shared" si="12"/>
        <v>0</v>
      </c>
      <c r="D96" s="200">
        <f t="shared" si="12"/>
        <v>0</v>
      </c>
      <c r="E96" s="200">
        <f t="shared" si="12"/>
        <v>0</v>
      </c>
      <c r="F96" s="200">
        <f t="shared" si="13"/>
        <v>0</v>
      </c>
      <c r="G96" s="200">
        <f t="shared" si="13"/>
        <v>0</v>
      </c>
      <c r="H96" s="200">
        <f t="shared" si="13"/>
        <v>0</v>
      </c>
      <c r="I96" s="200">
        <f t="shared" si="14"/>
        <v>0</v>
      </c>
      <c r="J96" s="200">
        <f t="shared" si="14"/>
        <v>0</v>
      </c>
      <c r="K96" s="200">
        <f t="shared" si="14"/>
        <v>0</v>
      </c>
      <c r="L96" s="200">
        <f t="shared" si="15"/>
        <v>0</v>
      </c>
      <c r="M96" s="200">
        <f t="shared" si="15"/>
        <v>0</v>
      </c>
      <c r="N96" s="200">
        <f t="shared" si="15"/>
        <v>0</v>
      </c>
    </row>
    <row r="97" spans="2:14" x14ac:dyDescent="0.3">
      <c r="B97" s="140">
        <v>8200</v>
      </c>
      <c r="C97" s="200">
        <f t="shared" si="12"/>
        <v>0</v>
      </c>
      <c r="D97" s="200">
        <f t="shared" si="12"/>
        <v>0</v>
      </c>
      <c r="E97" s="200">
        <f t="shared" si="12"/>
        <v>0</v>
      </c>
      <c r="F97" s="200">
        <f t="shared" si="13"/>
        <v>0</v>
      </c>
      <c r="G97" s="200">
        <f t="shared" si="13"/>
        <v>0</v>
      </c>
      <c r="H97" s="200">
        <f t="shared" si="13"/>
        <v>0</v>
      </c>
      <c r="I97" s="200">
        <f t="shared" si="14"/>
        <v>0</v>
      </c>
      <c r="J97" s="200">
        <f t="shared" si="14"/>
        <v>0</v>
      </c>
      <c r="K97" s="200">
        <f t="shared" si="14"/>
        <v>0</v>
      </c>
      <c r="L97" s="200">
        <f t="shared" si="15"/>
        <v>0</v>
      </c>
      <c r="M97" s="200">
        <f t="shared" si="15"/>
        <v>0</v>
      </c>
      <c r="N97" s="200">
        <f t="shared" si="15"/>
        <v>0</v>
      </c>
    </row>
    <row r="98" spans="2:14" x14ac:dyDescent="0.3">
      <c r="B98" s="140">
        <v>8300</v>
      </c>
      <c r="C98" s="200">
        <f t="shared" si="12"/>
        <v>0</v>
      </c>
      <c r="D98" s="200">
        <f t="shared" si="12"/>
        <v>0</v>
      </c>
      <c r="E98" s="200">
        <f t="shared" si="12"/>
        <v>0</v>
      </c>
      <c r="F98" s="200">
        <f t="shared" si="13"/>
        <v>0</v>
      </c>
      <c r="G98" s="200">
        <f t="shared" si="13"/>
        <v>0</v>
      </c>
      <c r="H98" s="200">
        <f t="shared" si="13"/>
        <v>0</v>
      </c>
      <c r="I98" s="200">
        <f t="shared" si="14"/>
        <v>0</v>
      </c>
      <c r="J98" s="200">
        <f t="shared" si="14"/>
        <v>0</v>
      </c>
      <c r="K98" s="200">
        <f t="shared" si="14"/>
        <v>0</v>
      </c>
      <c r="L98" s="200">
        <f t="shared" si="15"/>
        <v>0</v>
      </c>
      <c r="M98" s="200">
        <f t="shared" si="15"/>
        <v>0</v>
      </c>
      <c r="N98" s="200">
        <f t="shared" si="15"/>
        <v>0</v>
      </c>
    </row>
    <row r="99" spans="2:14" x14ac:dyDescent="0.3">
      <c r="B99" s="140">
        <v>8400</v>
      </c>
      <c r="C99" s="200">
        <f t="shared" si="12"/>
        <v>0</v>
      </c>
      <c r="D99" s="200">
        <f t="shared" si="12"/>
        <v>0</v>
      </c>
      <c r="E99" s="200">
        <f t="shared" si="12"/>
        <v>0</v>
      </c>
      <c r="F99" s="200">
        <f t="shared" si="13"/>
        <v>0</v>
      </c>
      <c r="G99" s="200">
        <f t="shared" si="13"/>
        <v>0</v>
      </c>
      <c r="H99" s="200">
        <f t="shared" si="13"/>
        <v>0</v>
      </c>
      <c r="I99" s="200">
        <f t="shared" si="14"/>
        <v>0</v>
      </c>
      <c r="J99" s="200">
        <f t="shared" si="14"/>
        <v>0</v>
      </c>
      <c r="K99" s="200">
        <f t="shared" si="14"/>
        <v>0</v>
      </c>
      <c r="L99" s="200">
        <f t="shared" si="15"/>
        <v>0</v>
      </c>
      <c r="M99" s="200">
        <f t="shared" si="15"/>
        <v>0</v>
      </c>
      <c r="N99" s="200">
        <f t="shared" si="15"/>
        <v>0</v>
      </c>
    </row>
    <row r="100" spans="2:14" x14ac:dyDescent="0.3">
      <c r="B100" s="140">
        <v>8500</v>
      </c>
      <c r="C100" s="200">
        <f t="shared" si="12"/>
        <v>0</v>
      </c>
      <c r="D100" s="200">
        <f t="shared" si="12"/>
        <v>0</v>
      </c>
      <c r="E100" s="200">
        <f t="shared" si="12"/>
        <v>0</v>
      </c>
      <c r="F100" s="200">
        <f t="shared" si="13"/>
        <v>0</v>
      </c>
      <c r="G100" s="200">
        <f t="shared" si="13"/>
        <v>0</v>
      </c>
      <c r="H100" s="200">
        <f t="shared" si="13"/>
        <v>0</v>
      </c>
      <c r="I100" s="200">
        <f t="shared" si="14"/>
        <v>0</v>
      </c>
      <c r="J100" s="200">
        <f t="shared" si="14"/>
        <v>0</v>
      </c>
      <c r="K100" s="200">
        <f t="shared" si="14"/>
        <v>0</v>
      </c>
      <c r="L100" s="200">
        <f t="shared" si="15"/>
        <v>0</v>
      </c>
      <c r="M100" s="200">
        <f t="shared" si="15"/>
        <v>0</v>
      </c>
      <c r="N100" s="200">
        <f t="shared" si="15"/>
        <v>0</v>
      </c>
    </row>
    <row r="101" spans="2:14" x14ac:dyDescent="0.3">
      <c r="B101" s="140">
        <v>8600</v>
      </c>
      <c r="C101" s="200">
        <f t="shared" si="12"/>
        <v>0</v>
      </c>
      <c r="D101" s="200">
        <f t="shared" si="12"/>
        <v>0</v>
      </c>
      <c r="E101" s="200">
        <f t="shared" si="12"/>
        <v>0</v>
      </c>
      <c r="F101" s="200">
        <f t="shared" si="13"/>
        <v>0</v>
      </c>
      <c r="G101" s="200">
        <f t="shared" si="13"/>
        <v>0</v>
      </c>
      <c r="H101" s="200">
        <f t="shared" si="13"/>
        <v>0</v>
      </c>
      <c r="I101" s="200">
        <f t="shared" si="14"/>
        <v>0</v>
      </c>
      <c r="J101" s="200">
        <f t="shared" si="14"/>
        <v>0</v>
      </c>
      <c r="K101" s="200">
        <f t="shared" si="14"/>
        <v>0</v>
      </c>
      <c r="L101" s="200">
        <f t="shared" si="15"/>
        <v>0</v>
      </c>
      <c r="M101" s="200">
        <f t="shared" si="15"/>
        <v>0</v>
      </c>
      <c r="N101" s="200">
        <f t="shared" si="15"/>
        <v>0</v>
      </c>
    </row>
    <row r="102" spans="2:14" x14ac:dyDescent="0.3">
      <c r="B102" s="140">
        <v>8700</v>
      </c>
      <c r="C102" s="200">
        <f t="shared" si="12"/>
        <v>0</v>
      </c>
      <c r="D102" s="200">
        <f t="shared" si="12"/>
        <v>0</v>
      </c>
      <c r="E102" s="200">
        <f t="shared" si="12"/>
        <v>0</v>
      </c>
      <c r="F102" s="200">
        <f t="shared" si="13"/>
        <v>0</v>
      </c>
      <c r="G102" s="200">
        <f t="shared" si="13"/>
        <v>0</v>
      </c>
      <c r="H102" s="200">
        <f t="shared" si="13"/>
        <v>0</v>
      </c>
      <c r="I102" s="200">
        <f t="shared" si="14"/>
        <v>0</v>
      </c>
      <c r="J102" s="200">
        <f t="shared" si="14"/>
        <v>0</v>
      </c>
      <c r="K102" s="200">
        <f t="shared" si="14"/>
        <v>0</v>
      </c>
      <c r="L102" s="200">
        <f t="shared" si="15"/>
        <v>0</v>
      </c>
      <c r="M102" s="200">
        <f t="shared" si="15"/>
        <v>0</v>
      </c>
      <c r="N102" s="200">
        <f t="shared" si="15"/>
        <v>0</v>
      </c>
    </row>
    <row r="103" spans="2:14" x14ac:dyDescent="0.3">
      <c r="B103" s="140">
        <v>8800</v>
      </c>
      <c r="C103" s="200">
        <f t="shared" si="12"/>
        <v>0</v>
      </c>
      <c r="D103" s="200">
        <f t="shared" si="12"/>
        <v>0</v>
      </c>
      <c r="E103" s="200">
        <f t="shared" si="12"/>
        <v>0</v>
      </c>
      <c r="F103" s="200">
        <f t="shared" si="13"/>
        <v>0</v>
      </c>
      <c r="G103" s="200">
        <f t="shared" si="13"/>
        <v>0</v>
      </c>
      <c r="H103" s="200">
        <f t="shared" si="13"/>
        <v>0</v>
      </c>
      <c r="I103" s="200">
        <f t="shared" si="14"/>
        <v>0</v>
      </c>
      <c r="J103" s="200">
        <f t="shared" si="14"/>
        <v>0</v>
      </c>
      <c r="K103" s="200">
        <f t="shared" si="14"/>
        <v>0</v>
      </c>
      <c r="L103" s="200">
        <f t="shared" si="15"/>
        <v>0</v>
      </c>
      <c r="M103" s="200">
        <f t="shared" si="15"/>
        <v>0</v>
      </c>
      <c r="N103" s="200">
        <f t="shared" si="15"/>
        <v>0</v>
      </c>
    </row>
    <row r="104" spans="2:14" x14ac:dyDescent="0.3">
      <c r="B104" s="140">
        <v>8900</v>
      </c>
      <c r="C104" s="200">
        <f t="shared" si="12"/>
        <v>0</v>
      </c>
      <c r="D104" s="200">
        <f t="shared" si="12"/>
        <v>0</v>
      </c>
      <c r="E104" s="200">
        <f t="shared" si="12"/>
        <v>0</v>
      </c>
      <c r="F104" s="200">
        <f t="shared" si="13"/>
        <v>0</v>
      </c>
      <c r="G104" s="200">
        <f t="shared" si="13"/>
        <v>0</v>
      </c>
      <c r="H104" s="200">
        <f t="shared" si="13"/>
        <v>0</v>
      </c>
      <c r="I104" s="200">
        <f t="shared" si="14"/>
        <v>0</v>
      </c>
      <c r="J104" s="200">
        <f t="shared" si="14"/>
        <v>0</v>
      </c>
      <c r="K104" s="200">
        <f t="shared" si="14"/>
        <v>0</v>
      </c>
      <c r="L104" s="200">
        <f t="shared" si="15"/>
        <v>0</v>
      </c>
      <c r="M104" s="200">
        <f t="shared" si="15"/>
        <v>0</v>
      </c>
      <c r="N104" s="200">
        <f t="shared" si="15"/>
        <v>0</v>
      </c>
    </row>
    <row r="105" spans="2:14" x14ac:dyDescent="0.3">
      <c r="B105" s="140">
        <v>9000</v>
      </c>
      <c r="C105" s="200">
        <f t="shared" si="12"/>
        <v>0</v>
      </c>
      <c r="D105" s="200">
        <f t="shared" si="12"/>
        <v>0</v>
      </c>
      <c r="E105" s="200">
        <f t="shared" si="12"/>
        <v>0</v>
      </c>
      <c r="F105" s="200">
        <f t="shared" si="13"/>
        <v>0</v>
      </c>
      <c r="G105" s="200">
        <f t="shared" si="13"/>
        <v>0</v>
      </c>
      <c r="H105" s="200">
        <f t="shared" si="13"/>
        <v>0</v>
      </c>
      <c r="I105" s="200">
        <f t="shared" si="14"/>
        <v>0</v>
      </c>
      <c r="J105" s="200">
        <f t="shared" si="14"/>
        <v>0</v>
      </c>
      <c r="K105" s="200">
        <f t="shared" si="14"/>
        <v>0</v>
      </c>
      <c r="L105" s="200">
        <f t="shared" si="15"/>
        <v>0</v>
      </c>
      <c r="M105" s="200">
        <f t="shared" si="15"/>
        <v>0</v>
      </c>
      <c r="N105" s="200">
        <f t="shared" si="15"/>
        <v>0</v>
      </c>
    </row>
    <row r="106" spans="2:14" x14ac:dyDescent="0.3">
      <c r="B106" s="140">
        <v>9100</v>
      </c>
      <c r="C106" s="200">
        <f t="shared" si="12"/>
        <v>0</v>
      </c>
      <c r="D106" s="200">
        <f t="shared" si="12"/>
        <v>0</v>
      </c>
      <c r="E106" s="200">
        <f t="shared" si="12"/>
        <v>0</v>
      </c>
      <c r="F106" s="200">
        <f t="shared" si="13"/>
        <v>0</v>
      </c>
      <c r="G106" s="200">
        <f t="shared" si="13"/>
        <v>0</v>
      </c>
      <c r="H106" s="200">
        <f t="shared" si="13"/>
        <v>0</v>
      </c>
      <c r="I106" s="200">
        <f t="shared" si="14"/>
        <v>0</v>
      </c>
      <c r="J106" s="200">
        <f t="shared" si="14"/>
        <v>0</v>
      </c>
      <c r="K106" s="200">
        <f t="shared" si="14"/>
        <v>0</v>
      </c>
      <c r="L106" s="200">
        <f t="shared" si="15"/>
        <v>0</v>
      </c>
      <c r="M106" s="200">
        <f t="shared" si="15"/>
        <v>0</v>
      </c>
      <c r="N106" s="200">
        <f t="shared" si="15"/>
        <v>0</v>
      </c>
    </row>
    <row r="107" spans="2:14" x14ac:dyDescent="0.3">
      <c r="B107" s="140">
        <v>9200</v>
      </c>
      <c r="C107" s="200">
        <f t="shared" si="12"/>
        <v>0</v>
      </c>
      <c r="D107" s="200">
        <f t="shared" si="12"/>
        <v>0</v>
      </c>
      <c r="E107" s="200">
        <f t="shared" si="12"/>
        <v>0</v>
      </c>
      <c r="F107" s="200">
        <f t="shared" si="13"/>
        <v>0</v>
      </c>
      <c r="G107" s="200">
        <f t="shared" si="13"/>
        <v>0</v>
      </c>
      <c r="H107" s="200">
        <f t="shared" si="13"/>
        <v>0</v>
      </c>
      <c r="I107" s="200">
        <f t="shared" si="14"/>
        <v>0</v>
      </c>
      <c r="J107" s="200">
        <f t="shared" si="14"/>
        <v>0</v>
      </c>
      <c r="K107" s="200">
        <f t="shared" si="14"/>
        <v>0</v>
      </c>
      <c r="L107" s="200">
        <f t="shared" si="15"/>
        <v>0</v>
      </c>
      <c r="M107" s="200">
        <f t="shared" si="15"/>
        <v>0</v>
      </c>
      <c r="N107" s="200">
        <f t="shared" si="15"/>
        <v>0</v>
      </c>
    </row>
    <row r="108" spans="2:14" x14ac:dyDescent="0.3">
      <c r="B108" s="140">
        <v>9300</v>
      </c>
      <c r="C108" s="200">
        <f t="shared" si="12"/>
        <v>0</v>
      </c>
      <c r="D108" s="200">
        <f t="shared" si="12"/>
        <v>0</v>
      </c>
      <c r="E108" s="200">
        <f t="shared" si="12"/>
        <v>0</v>
      </c>
      <c r="F108" s="200">
        <f t="shared" si="13"/>
        <v>0</v>
      </c>
      <c r="G108" s="200">
        <f t="shared" si="13"/>
        <v>0</v>
      </c>
      <c r="H108" s="200">
        <f t="shared" si="13"/>
        <v>0</v>
      </c>
      <c r="I108" s="200">
        <f t="shared" si="14"/>
        <v>0</v>
      </c>
      <c r="J108" s="200">
        <f t="shared" si="14"/>
        <v>0</v>
      </c>
      <c r="K108" s="200">
        <f t="shared" si="14"/>
        <v>0</v>
      </c>
      <c r="L108" s="200">
        <f t="shared" si="15"/>
        <v>0</v>
      </c>
      <c r="M108" s="200">
        <f t="shared" si="15"/>
        <v>0</v>
      </c>
      <c r="N108" s="200">
        <f t="shared" si="15"/>
        <v>0</v>
      </c>
    </row>
    <row r="109" spans="2:14" x14ac:dyDescent="0.3">
      <c r="B109" s="140">
        <v>9400</v>
      </c>
      <c r="C109" s="200">
        <f t="shared" si="12"/>
        <v>0</v>
      </c>
      <c r="D109" s="200">
        <f t="shared" si="12"/>
        <v>0</v>
      </c>
      <c r="E109" s="200">
        <f t="shared" si="12"/>
        <v>0</v>
      </c>
      <c r="F109" s="200">
        <f t="shared" si="13"/>
        <v>0</v>
      </c>
      <c r="G109" s="200">
        <f t="shared" si="13"/>
        <v>0</v>
      </c>
      <c r="H109" s="200">
        <f t="shared" si="13"/>
        <v>0</v>
      </c>
      <c r="I109" s="200">
        <f t="shared" si="14"/>
        <v>0</v>
      </c>
      <c r="J109" s="200">
        <f t="shared" si="14"/>
        <v>0</v>
      </c>
      <c r="K109" s="200">
        <f t="shared" si="14"/>
        <v>0</v>
      </c>
      <c r="L109" s="200">
        <f t="shared" si="15"/>
        <v>0</v>
      </c>
      <c r="M109" s="200">
        <f t="shared" si="15"/>
        <v>0</v>
      </c>
      <c r="N109" s="200">
        <f t="shared" si="15"/>
        <v>0</v>
      </c>
    </row>
    <row r="110" spans="2:14" x14ac:dyDescent="0.3">
      <c r="B110" s="140">
        <v>9500</v>
      </c>
      <c r="C110" s="200">
        <f t="shared" si="12"/>
        <v>0</v>
      </c>
      <c r="D110" s="200">
        <f t="shared" si="12"/>
        <v>0</v>
      </c>
      <c r="E110" s="200">
        <f t="shared" si="12"/>
        <v>0</v>
      </c>
      <c r="F110" s="200">
        <f t="shared" si="13"/>
        <v>0</v>
      </c>
      <c r="G110" s="200">
        <f t="shared" si="13"/>
        <v>0</v>
      </c>
      <c r="H110" s="200">
        <f t="shared" si="13"/>
        <v>0</v>
      </c>
      <c r="I110" s="200">
        <f t="shared" si="14"/>
        <v>0</v>
      </c>
      <c r="J110" s="200">
        <f t="shared" si="14"/>
        <v>0</v>
      </c>
      <c r="K110" s="200">
        <f t="shared" si="14"/>
        <v>0</v>
      </c>
      <c r="L110" s="200">
        <f t="shared" si="15"/>
        <v>0</v>
      </c>
      <c r="M110" s="200">
        <f t="shared" si="15"/>
        <v>0</v>
      </c>
      <c r="N110" s="200">
        <f t="shared" si="15"/>
        <v>0</v>
      </c>
    </row>
    <row r="111" spans="2:14" x14ac:dyDescent="0.3">
      <c r="B111" s="140">
        <v>9600</v>
      </c>
      <c r="C111" s="200">
        <f t="shared" si="12"/>
        <v>0</v>
      </c>
      <c r="D111" s="200">
        <f t="shared" si="12"/>
        <v>0</v>
      </c>
      <c r="E111" s="200">
        <f t="shared" si="12"/>
        <v>0</v>
      </c>
      <c r="F111" s="200">
        <f t="shared" si="13"/>
        <v>0</v>
      </c>
      <c r="G111" s="200">
        <f t="shared" si="13"/>
        <v>0</v>
      </c>
      <c r="H111" s="200">
        <f t="shared" si="13"/>
        <v>0</v>
      </c>
      <c r="I111" s="200">
        <f t="shared" si="14"/>
        <v>0</v>
      </c>
      <c r="J111" s="200">
        <f t="shared" si="14"/>
        <v>0</v>
      </c>
      <c r="K111" s="200">
        <f t="shared" si="14"/>
        <v>0</v>
      </c>
      <c r="L111" s="200">
        <f t="shared" si="15"/>
        <v>0</v>
      </c>
      <c r="M111" s="200">
        <f t="shared" si="15"/>
        <v>0</v>
      </c>
      <c r="N111" s="200">
        <f t="shared" si="15"/>
        <v>0</v>
      </c>
    </row>
    <row r="112" spans="2:14" x14ac:dyDescent="0.3">
      <c r="B112" s="140">
        <v>9700</v>
      </c>
      <c r="C112" s="200">
        <f t="shared" si="12"/>
        <v>0</v>
      </c>
      <c r="D112" s="200">
        <f t="shared" si="12"/>
        <v>0</v>
      </c>
      <c r="E112" s="200">
        <f t="shared" si="12"/>
        <v>0</v>
      </c>
      <c r="F112" s="200">
        <f t="shared" si="13"/>
        <v>0</v>
      </c>
      <c r="G112" s="200">
        <f t="shared" si="13"/>
        <v>0</v>
      </c>
      <c r="H112" s="200">
        <f t="shared" si="13"/>
        <v>0</v>
      </c>
      <c r="I112" s="200">
        <f t="shared" si="14"/>
        <v>0</v>
      </c>
      <c r="J112" s="200">
        <f t="shared" si="14"/>
        <v>0</v>
      </c>
      <c r="K112" s="200">
        <f t="shared" si="14"/>
        <v>0</v>
      </c>
      <c r="L112" s="200">
        <f t="shared" si="15"/>
        <v>0</v>
      </c>
      <c r="M112" s="200">
        <f t="shared" si="15"/>
        <v>0</v>
      </c>
      <c r="N112" s="200">
        <f t="shared" si="15"/>
        <v>0</v>
      </c>
    </row>
    <row r="113" spans="2:14" x14ac:dyDescent="0.3">
      <c r="B113" s="140">
        <v>9800</v>
      </c>
      <c r="C113" s="200">
        <f t="shared" si="12"/>
        <v>0</v>
      </c>
      <c r="D113" s="200">
        <f t="shared" si="12"/>
        <v>0</v>
      </c>
      <c r="E113" s="200">
        <f t="shared" si="12"/>
        <v>0</v>
      </c>
      <c r="F113" s="200">
        <f t="shared" si="13"/>
        <v>0</v>
      </c>
      <c r="G113" s="200">
        <f t="shared" si="13"/>
        <v>0</v>
      </c>
      <c r="H113" s="200">
        <f t="shared" si="13"/>
        <v>0</v>
      </c>
      <c r="I113" s="200">
        <f t="shared" si="14"/>
        <v>0</v>
      </c>
      <c r="J113" s="200">
        <f t="shared" si="14"/>
        <v>0</v>
      </c>
      <c r="K113" s="200">
        <f t="shared" si="14"/>
        <v>0</v>
      </c>
      <c r="L113" s="200">
        <f t="shared" si="15"/>
        <v>0</v>
      </c>
      <c r="M113" s="200">
        <f t="shared" si="15"/>
        <v>0</v>
      </c>
      <c r="N113" s="200">
        <f t="shared" si="15"/>
        <v>0</v>
      </c>
    </row>
    <row r="114" spans="2:14" x14ac:dyDescent="0.3">
      <c r="B114" s="140">
        <v>9900</v>
      </c>
      <c r="C114" s="200">
        <f t="shared" si="12"/>
        <v>0</v>
      </c>
      <c r="D114" s="200">
        <f t="shared" si="12"/>
        <v>0</v>
      </c>
      <c r="E114" s="200">
        <f t="shared" si="12"/>
        <v>0</v>
      </c>
      <c r="F114" s="200">
        <f t="shared" si="13"/>
        <v>0</v>
      </c>
      <c r="G114" s="200">
        <f t="shared" si="13"/>
        <v>0</v>
      </c>
      <c r="H114" s="200">
        <f t="shared" si="13"/>
        <v>0</v>
      </c>
      <c r="I114" s="200">
        <f t="shared" si="14"/>
        <v>0</v>
      </c>
      <c r="J114" s="200">
        <f t="shared" si="14"/>
        <v>0</v>
      </c>
      <c r="K114" s="200">
        <f t="shared" si="14"/>
        <v>0</v>
      </c>
      <c r="L114" s="200">
        <f t="shared" si="15"/>
        <v>0</v>
      </c>
      <c r="M114" s="200">
        <f t="shared" si="15"/>
        <v>0</v>
      </c>
      <c r="N114" s="200">
        <f t="shared" si="15"/>
        <v>0</v>
      </c>
    </row>
    <row r="115" spans="2:14" x14ac:dyDescent="0.3">
      <c r="B115" s="140">
        <v>10000</v>
      </c>
      <c r="C115" s="200">
        <f t="shared" si="12"/>
        <v>0</v>
      </c>
      <c r="D115" s="200">
        <f t="shared" si="12"/>
        <v>0</v>
      </c>
      <c r="E115" s="200">
        <f t="shared" si="12"/>
        <v>0</v>
      </c>
      <c r="F115" s="200">
        <f t="shared" si="13"/>
        <v>0</v>
      </c>
      <c r="G115" s="200">
        <f t="shared" si="13"/>
        <v>0</v>
      </c>
      <c r="H115" s="200">
        <f t="shared" si="13"/>
        <v>0</v>
      </c>
      <c r="I115" s="200">
        <f t="shared" si="14"/>
        <v>0</v>
      </c>
      <c r="J115" s="200">
        <f t="shared" si="14"/>
        <v>0</v>
      </c>
      <c r="K115" s="200">
        <f t="shared" si="14"/>
        <v>0</v>
      </c>
      <c r="L115" s="200">
        <f t="shared" si="15"/>
        <v>0</v>
      </c>
      <c r="M115" s="200">
        <f t="shared" si="15"/>
        <v>0</v>
      </c>
      <c r="N115" s="200">
        <f t="shared" si="15"/>
        <v>0</v>
      </c>
    </row>
  </sheetData>
  <conditionalFormatting sqref="C16:N253">
    <cfRule type="dataBar" priority="1">
      <dataBar>
        <cfvo type="min"/>
        <cfvo type="max"/>
        <color rgb="FFFFB628"/>
      </dataBar>
      <extLst>
        <ext xmlns:x14="http://schemas.microsoft.com/office/spreadsheetml/2009/9/main" uri="{B025F937-C7B1-47D3-B67F-A62EFF666E3E}">
          <x14:id>{98588651-8B8F-4769-B53A-4C76DE8731C0}</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98588651-8B8F-4769-B53A-4C76DE8731C0}">
            <x14:dataBar minLength="0" maxLength="100" gradient="0">
              <x14:cfvo type="autoMin"/>
              <x14:cfvo type="autoMax"/>
              <x14:negativeFillColor rgb="FFFF0000"/>
              <x14:axisColor rgb="FF000000"/>
            </x14:dataBar>
          </x14:cfRule>
          <xm:sqref>C16:N253</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C15FA-B288-4AAE-BF58-3DCFFCE312A9}">
  <dimension ref="B2:K17"/>
  <sheetViews>
    <sheetView workbookViewId="0">
      <selection activeCell="F4" sqref="F4"/>
    </sheetView>
  </sheetViews>
  <sheetFormatPr defaultRowHeight="14.5" x14ac:dyDescent="0.35"/>
  <cols>
    <col min="7" max="7" width="9.08984375" customWidth="1"/>
  </cols>
  <sheetData>
    <row r="2" spans="2:11" x14ac:dyDescent="0.35">
      <c r="C2" t="s">
        <v>317</v>
      </c>
      <c r="E2" t="s">
        <v>318</v>
      </c>
      <c r="G2" t="s">
        <v>319</v>
      </c>
    </row>
    <row r="3" spans="2:11" x14ac:dyDescent="0.35">
      <c r="B3">
        <v>2035</v>
      </c>
      <c r="C3" t="s">
        <v>23</v>
      </c>
      <c r="D3" t="s">
        <v>49</v>
      </c>
      <c r="E3" t="s">
        <v>23</v>
      </c>
      <c r="F3" t="s">
        <v>49</v>
      </c>
      <c r="G3" t="s">
        <v>23</v>
      </c>
      <c r="H3" t="s">
        <v>49</v>
      </c>
    </row>
    <row r="4" spans="2:11" x14ac:dyDescent="0.35">
      <c r="B4" t="s">
        <v>20</v>
      </c>
      <c r="C4" s="138">
        <v>1023000000</v>
      </c>
      <c r="D4" s="138">
        <v>410100000</v>
      </c>
      <c r="E4" s="138">
        <v>693000000</v>
      </c>
      <c r="F4" s="138">
        <v>277837248</v>
      </c>
      <c r="G4" s="138">
        <v>678324729</v>
      </c>
      <c r="H4">
        <v>308637327</v>
      </c>
      <c r="I4" s="6" cm="1">
        <f t="array" ref="I4:I7">G4:G7/E4:E7</f>
        <v>0.97882356277056282</v>
      </c>
      <c r="J4" s="6" cm="1">
        <f t="array" ref="J4:J8">H4:H8/F4:F8</f>
        <v>1.1108565508106385</v>
      </c>
      <c r="K4" t="s">
        <v>327</v>
      </c>
    </row>
    <row r="5" spans="2:11" x14ac:dyDescent="0.35">
      <c r="B5" t="s">
        <v>19</v>
      </c>
      <c r="C5" s="138">
        <v>49861664</v>
      </c>
      <c r="D5" s="138">
        <v>275170000</v>
      </c>
      <c r="E5" s="138">
        <v>1550000000</v>
      </c>
      <c r="F5" s="138">
        <v>856691500</v>
      </c>
      <c r="G5" s="138">
        <v>1540439520</v>
      </c>
      <c r="H5">
        <v>284060144</v>
      </c>
      <c r="I5" s="6">
        <v>0.99383194838709676</v>
      </c>
      <c r="J5" s="6">
        <v>0.33157810483703876</v>
      </c>
      <c r="K5" t="s">
        <v>328</v>
      </c>
    </row>
    <row r="6" spans="2:11" x14ac:dyDescent="0.35">
      <c r="B6" t="s">
        <v>18</v>
      </c>
      <c r="C6" s="138">
        <v>5750000000</v>
      </c>
      <c r="D6" s="138">
        <v>5551000000</v>
      </c>
      <c r="E6" s="138">
        <v>8700000000</v>
      </c>
      <c r="F6" s="138">
        <v>8407923710</v>
      </c>
      <c r="G6" s="138">
        <v>8522158848</v>
      </c>
      <c r="H6">
        <v>4270473633</v>
      </c>
      <c r="I6" s="6">
        <v>0.97955848827586212</v>
      </c>
      <c r="J6" s="6">
        <v>0.5079106067436</v>
      </c>
      <c r="K6" t="s">
        <v>328</v>
      </c>
    </row>
    <row r="7" spans="2:11" x14ac:dyDescent="0.35">
      <c r="B7" t="s">
        <v>17</v>
      </c>
      <c r="C7" s="138">
        <v>2746000000</v>
      </c>
      <c r="D7" s="138">
        <v>3440000000</v>
      </c>
      <c r="E7" s="138">
        <v>2760000000</v>
      </c>
      <c r="F7" s="138">
        <v>3455517180</v>
      </c>
      <c r="G7" s="138">
        <v>2698308640</v>
      </c>
      <c r="H7">
        <v>3707335264</v>
      </c>
      <c r="I7" s="6">
        <v>0.97764805797101451</v>
      </c>
      <c r="J7" s="6">
        <v>1.0728742098165462</v>
      </c>
    </row>
    <row r="8" spans="2:11" x14ac:dyDescent="0.35">
      <c r="D8" s="138">
        <f>SUM(D4:D7)</f>
        <v>9676270000</v>
      </c>
      <c r="E8" s="138">
        <f>SUM(E4:E7)</f>
        <v>13703000000</v>
      </c>
      <c r="F8" s="138">
        <f>SUM(F4:F7)</f>
        <v>12997969638</v>
      </c>
      <c r="G8" s="138">
        <f>SUM(G4:G7)</f>
        <v>13439231737</v>
      </c>
      <c r="H8">
        <v>8570548746</v>
      </c>
      <c r="J8" s="6">
        <v>0.65937596291529355</v>
      </c>
    </row>
    <row r="9" spans="2:11" x14ac:dyDescent="0.35">
      <c r="G9" s="139" t="s">
        <v>322</v>
      </c>
      <c r="H9" s="139" t="s">
        <v>322</v>
      </c>
    </row>
    <row r="10" spans="2:11" x14ac:dyDescent="0.35">
      <c r="H10" s="130"/>
    </row>
    <row r="13" spans="2:11" x14ac:dyDescent="0.35">
      <c r="B13" t="s">
        <v>313</v>
      </c>
      <c r="C13" t="s">
        <v>320</v>
      </c>
      <c r="D13" t="s">
        <v>321</v>
      </c>
    </row>
    <row r="14" spans="2:11" x14ac:dyDescent="0.35">
      <c r="B14" t="s">
        <v>314</v>
      </c>
      <c r="C14">
        <v>2000</v>
      </c>
      <c r="D14">
        <v>4000</v>
      </c>
    </row>
    <row r="15" spans="2:11" x14ac:dyDescent="0.35">
      <c r="B15" t="s">
        <v>315</v>
      </c>
      <c r="C15">
        <v>2200</v>
      </c>
      <c r="D15">
        <v>4500</v>
      </c>
    </row>
    <row r="16" spans="2:11" x14ac:dyDescent="0.35">
      <c r="B16" t="s">
        <v>316</v>
      </c>
      <c r="C16">
        <v>1000</v>
      </c>
      <c r="D16">
        <v>2100</v>
      </c>
    </row>
    <row r="17" spans="4:4" x14ac:dyDescent="0.35">
      <c r="D17" s="139" t="s">
        <v>322</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E67AA-4708-45E7-B9E3-C7AF9AE5F48C}">
  <dimension ref="A1:M322"/>
  <sheetViews>
    <sheetView topLeftCell="A271" zoomScale="130" zoomScaleNormal="130" workbookViewId="0">
      <selection activeCell="M317" sqref="M317"/>
    </sheetView>
  </sheetViews>
  <sheetFormatPr defaultColWidth="9.90625" defaultRowHeight="10.5" x14ac:dyDescent="0.35"/>
  <cols>
    <col min="1" max="1" width="16.36328125" style="209" customWidth="1"/>
    <col min="2" max="2" width="17.453125" style="209" customWidth="1"/>
    <col min="3" max="3" width="17.81640625" style="209" customWidth="1"/>
    <col min="4" max="16384" width="9.90625" style="209"/>
  </cols>
  <sheetData>
    <row r="1" spans="1:12" x14ac:dyDescent="0.35">
      <c r="A1" s="208" t="s">
        <v>597</v>
      </c>
    </row>
    <row r="2" spans="1:12" x14ac:dyDescent="0.35">
      <c r="A2" s="208" t="str" cm="1">
        <f t="array" ref="A2:K14">batteries!B1:L13</f>
        <v>subgroup</v>
      </c>
      <c r="B2" s="208" t="str">
        <v>variable</v>
      </c>
      <c r="C2" s="208" t="str">
        <v>unit</v>
      </c>
      <c r="D2" s="208">
        <v>2020</v>
      </c>
      <c r="E2" s="208">
        <v>2025</v>
      </c>
      <c r="F2" s="208">
        <v>2030</v>
      </c>
      <c r="G2" s="208">
        <v>2035</v>
      </c>
      <c r="H2" s="208">
        <v>2040</v>
      </c>
      <c r="I2" s="208">
        <v>2045</v>
      </c>
      <c r="J2" s="208">
        <v>2050</v>
      </c>
      <c r="K2" s="208" t="str">
        <v>Annual change</v>
      </c>
      <c r="L2" s="208" t="str" cm="1">
        <f t="array" ref="L2:L14">batteries!N1:N13</f>
        <v>Source</v>
      </c>
    </row>
    <row r="3" spans="1:12" x14ac:dyDescent="0.35">
      <c r="A3" s="209" t="str">
        <v>Gross</v>
      </c>
      <c r="B3" s="209" t="str">
        <v>SoC window</v>
      </c>
      <c r="C3" s="209" t="str">
        <v>ratio</v>
      </c>
      <c r="D3" s="209">
        <v>0.65</v>
      </c>
      <c r="E3" s="210">
        <v>0.82499999999999996</v>
      </c>
      <c r="F3" s="211">
        <v>0.91249999999999998</v>
      </c>
      <c r="G3" s="211">
        <v>0.95625000000000004</v>
      </c>
      <c r="H3" s="211">
        <v>0.97812500000000002</v>
      </c>
      <c r="I3" s="211">
        <v>0.98906249999999996</v>
      </c>
      <c r="J3" s="211">
        <v>0.99453124999999998</v>
      </c>
      <c r="K3" s="211">
        <v>0.5</v>
      </c>
      <c r="L3" s="212" t="str">
        <v>Truck OEM engineer (anonymous)</v>
      </c>
    </row>
    <row r="4" spans="1:12" x14ac:dyDescent="0.35">
      <c r="A4" s="209" t="str">
        <v>Gross</v>
      </c>
      <c r="B4" s="209" t="str">
        <v>Calendar lifetime</v>
      </c>
      <c r="C4" s="209" t="str">
        <v>years</v>
      </c>
      <c r="D4" s="209">
        <v>15</v>
      </c>
      <c r="E4" s="213">
        <v>16.5</v>
      </c>
      <c r="F4" s="214">
        <v>18</v>
      </c>
      <c r="G4" s="214">
        <v>19.5</v>
      </c>
      <c r="H4" s="214">
        <v>21</v>
      </c>
      <c r="I4" s="214">
        <v>22.5</v>
      </c>
      <c r="J4" s="214">
        <v>24</v>
      </c>
      <c r="K4" s="214">
        <v>0.3</v>
      </c>
      <c r="L4" s="212" t="str">
        <v>See comment.</v>
      </c>
    </row>
    <row r="5" spans="1:12" x14ac:dyDescent="0.35">
      <c r="A5" s="209" t="str">
        <v>Gross</v>
      </c>
      <c r="B5" s="209" t="str">
        <v>Cycle lifetime</v>
      </c>
      <c r="C5" s="209" t="str">
        <v>cycles</v>
      </c>
      <c r="D5" s="209">
        <v>1500</v>
      </c>
      <c r="E5" s="215">
        <v>2007.3383664000007</v>
      </c>
      <c r="F5" s="216">
        <v>2686.2715448142826</v>
      </c>
      <c r="G5" s="216">
        <v>3594.8372896495389</v>
      </c>
      <c r="H5" s="216">
        <v>4810.7032083192744</v>
      </c>
      <c r="I5" s="216">
        <v>6437.8060796152367</v>
      </c>
      <c r="J5" s="216">
        <v>8615.2367593698946</v>
      </c>
      <c r="K5" s="216">
        <v>0.06</v>
      </c>
      <c r="L5" s="212" t="str">
        <v>See comment.</v>
      </c>
    </row>
    <row r="6" spans="1:12" x14ac:dyDescent="0.35">
      <c r="A6" s="209" t="str">
        <v>Gross</v>
      </c>
      <c r="B6" s="209" t="str">
        <v>Reference charging rate</v>
      </c>
      <c r="C6" s="209" t="str">
        <v>c</v>
      </c>
      <c r="D6" s="209">
        <v>1</v>
      </c>
      <c r="E6" s="210">
        <v>1.2166529024000003</v>
      </c>
      <c r="F6" s="211">
        <v>1.4802442849183448</v>
      </c>
      <c r="G6" s="211">
        <v>1.8009435055069172</v>
      </c>
      <c r="H6" s="211">
        <v>2.1911231430334217</v>
      </c>
      <c r="I6" s="211">
        <v>2.6658363314874238</v>
      </c>
      <c r="J6" s="211">
        <v>3.2433975100275436</v>
      </c>
      <c r="K6" s="211">
        <v>0.04</v>
      </c>
      <c r="L6" s="212" t="str">
        <v>See comment.</v>
      </c>
    </row>
    <row r="7" spans="1:12" x14ac:dyDescent="0.35">
      <c r="A7" s="209" t="str">
        <v>Gross</v>
      </c>
      <c r="B7" s="209" t="str">
        <v>Reference discharging rate</v>
      </c>
      <c r="C7" s="209" t="str">
        <v>c</v>
      </c>
      <c r="D7" s="209">
        <v>1.5</v>
      </c>
      <c r="E7" s="210">
        <v>1.8249793536000005</v>
      </c>
      <c r="F7" s="211">
        <v>2.2203664273775172</v>
      </c>
      <c r="G7" s="211">
        <v>2.7014152582603761</v>
      </c>
      <c r="H7" s="211">
        <v>3.286684714550133</v>
      </c>
      <c r="I7" s="211">
        <v>3.9987544972311362</v>
      </c>
      <c r="J7" s="211">
        <v>4.8650962650413163</v>
      </c>
      <c r="K7" s="211">
        <v>0.04</v>
      </c>
      <c r="L7" s="212" t="str">
        <v>See comment.</v>
      </c>
    </row>
    <row r="8" spans="1:12" x14ac:dyDescent="0.35">
      <c r="A8" s="209" t="str">
        <v>Gross</v>
      </c>
      <c r="B8" s="209" t="str">
        <v>Max permitted charging rate</v>
      </c>
      <c r="C8" s="209" t="str">
        <v>c</v>
      </c>
      <c r="D8" s="209">
        <v>1.5</v>
      </c>
      <c r="E8" s="211">
        <v>1.8249793536000005</v>
      </c>
      <c r="F8" s="211">
        <v>2.2203664273775172</v>
      </c>
      <c r="G8" s="211">
        <v>2.7014152582603757</v>
      </c>
      <c r="H8" s="211">
        <v>3.2866847145501326</v>
      </c>
      <c r="I8" s="211">
        <v>3.9987544972311357</v>
      </c>
      <c r="J8" s="211">
        <v>4.8650962650413154</v>
      </c>
      <c r="K8" s="211">
        <v>0</v>
      </c>
      <c r="L8" s="212" t="str">
        <v>1.5 * ref</v>
      </c>
    </row>
    <row r="9" spans="1:12" x14ac:dyDescent="0.35">
      <c r="A9" s="209" t="str">
        <v>Gross</v>
      </c>
      <c r="B9" s="209" t="str">
        <v>Max permitted discharging rate</v>
      </c>
      <c r="C9" s="209" t="str">
        <v>c</v>
      </c>
      <c r="D9" s="209">
        <v>2.25</v>
      </c>
      <c r="E9" s="211">
        <v>2.7374690304000007</v>
      </c>
      <c r="F9" s="211">
        <v>3.330549641066276</v>
      </c>
      <c r="G9" s="211">
        <v>4.0521228873905644</v>
      </c>
      <c r="H9" s="211">
        <v>4.9300270718251991</v>
      </c>
      <c r="I9" s="211">
        <v>5.9981317458467043</v>
      </c>
      <c r="J9" s="211">
        <v>7.2976443975619745</v>
      </c>
      <c r="K9" s="211">
        <v>0</v>
      </c>
      <c r="L9" s="212" t="str">
        <v>1.5 * ref</v>
      </c>
    </row>
    <row r="10" spans="1:12" x14ac:dyDescent="0.35">
      <c r="A10" s="209" t="str">
        <v>Gross</v>
      </c>
      <c r="B10" s="209" t="str">
        <v>Specific energy</v>
      </c>
      <c r="C10" s="209" t="str">
        <v>kWh per kg</v>
      </c>
      <c r="D10" s="209">
        <v>0.2</v>
      </c>
      <c r="E10" s="210">
        <v>0.23185481485999998</v>
      </c>
      <c r="F10" s="211">
        <v>0.26878327586882433</v>
      </c>
      <c r="G10" s="211">
        <v>0.3115934833201528</v>
      </c>
      <c r="H10" s="211">
        <v>0.36122224693388255</v>
      </c>
      <c r="I10" s="211">
        <v>0.41875558593084267</v>
      </c>
      <c r="J10" s="211">
        <v>0.48545249423793169</v>
      </c>
      <c r="K10" s="211">
        <v>0.03</v>
      </c>
      <c r="L10" s="212" t="str">
        <v>See comment.</v>
      </c>
    </row>
    <row r="11" spans="1:12" x14ac:dyDescent="0.35">
      <c r="A11" s="209" t="str">
        <v>Gross</v>
      </c>
      <c r="B11" s="209" t="str">
        <v>Energy density</v>
      </c>
      <c r="C11" s="209" t="str">
        <v>kWh per liter</v>
      </c>
      <c r="D11" s="209">
        <v>0.5</v>
      </c>
      <c r="E11" s="210">
        <v>0.57963703714999992</v>
      </c>
      <c r="F11" s="211">
        <v>0.67195818967206078</v>
      </c>
      <c r="G11" s="211">
        <v>0.77898370830038199</v>
      </c>
      <c r="H11" s="211">
        <v>0.90305561733470641</v>
      </c>
      <c r="I11" s="211">
        <v>1.0468889648271067</v>
      </c>
      <c r="J11" s="211">
        <v>1.2136312355948291</v>
      </c>
      <c r="K11" s="211">
        <v>0.03</v>
      </c>
      <c r="L11" s="212" t="str">
        <v>See comment.</v>
      </c>
    </row>
    <row r="12" spans="1:12" x14ac:dyDescent="0.35">
      <c r="A12" s="209" t="str">
        <v>Gross</v>
      </c>
      <c r="B12" s="209" t="str">
        <v>Pack cost</v>
      </c>
      <c r="C12" s="209" t="str">
        <v>€ per kWh</v>
      </c>
      <c r="D12" s="209">
        <v>270</v>
      </c>
      <c r="E12" s="213">
        <v>206.13696537599998</v>
      </c>
      <c r="F12" s="214">
        <v>159.26762738277591</v>
      </c>
      <c r="G12" s="214">
        <v>124.8700317023236</v>
      </c>
      <c r="H12" s="214">
        <v>99.625497871550806</v>
      </c>
      <c r="I12" s="214">
        <v>81.098432949533773</v>
      </c>
      <c r="J12" s="214">
        <v>67.501345479999543</v>
      </c>
      <c r="K12" s="214">
        <v>-0.06</v>
      </c>
      <c r="L12" s="212" t="str">
        <v>Link, S., Stephan, A., Speth, D. et al. Rapidly declining costs of truck batteries and fuel cells enable large-scale road freight electrification. Nat Energy 9, 1032–1039 (2024). https://doi.org/10.1038/s41560-024-01531-9</v>
      </c>
    </row>
    <row r="13" spans="1:12" x14ac:dyDescent="0.35">
      <c r="A13" s="209" t="str">
        <v>Gross</v>
      </c>
      <c r="B13" s="209" t="str">
        <v>Production emissions</v>
      </c>
      <c r="C13" s="209" t="str">
        <v>kg CO₂ per kWh</v>
      </c>
      <c r="D13" s="209">
        <v>150</v>
      </c>
      <c r="E13" s="217">
        <v>98.862228480000013</v>
      </c>
      <c r="F13" s="218">
        <v>65.158268133544837</v>
      </c>
      <c r="G13" s="218">
        <v>42.944610610530759</v>
      </c>
      <c r="H13" s="218">
        <v>28.303999374419501</v>
      </c>
      <c r="I13" s="218">
        <v>18.654643020344256</v>
      </c>
      <c r="J13" s="218">
        <v>12.294930536600743</v>
      </c>
      <c r="K13" s="218">
        <v>-0.08</v>
      </c>
      <c r="L13" s="212" t="str">
        <v>Statement by Northvolt that emissions will be 25% of a Chinese competitor, claimed at 160-180. Trucks in Sweden are mostly Volvo and Scania, which will use Northvolt. Remaining emissions are from raw materials production.</v>
      </c>
    </row>
    <row r="14" spans="1:12" x14ac:dyDescent="0.35">
      <c r="A14" s="209" t="str">
        <v>Gross</v>
      </c>
      <c r="B14" s="209" t="str">
        <v>End of life definition</v>
      </c>
      <c r="C14" s="209" t="str">
        <v>ratio of gross</v>
      </c>
      <c r="D14" s="209">
        <v>0.8</v>
      </c>
      <c r="E14" s="212">
        <v>0.8</v>
      </c>
      <c r="F14" s="219">
        <v>0.8</v>
      </c>
      <c r="G14" s="219">
        <v>0.8</v>
      </c>
      <c r="H14" s="219">
        <v>0.8</v>
      </c>
      <c r="I14" s="219">
        <v>0.8</v>
      </c>
      <c r="J14" s="219">
        <v>0.8</v>
      </c>
      <c r="K14" s="219">
        <v>0</v>
      </c>
      <c r="L14" s="212" t="str">
        <v>See comment.</v>
      </c>
    </row>
    <row r="16" spans="1:12" x14ac:dyDescent="0.35">
      <c r="A16" s="208" t="s">
        <v>340</v>
      </c>
    </row>
    <row r="17" spans="1:11" x14ac:dyDescent="0.35">
      <c r="A17" s="208" t="str" cm="1">
        <f t="array" ref="A17:K24">powertrains!A1:K8</f>
        <v>variable</v>
      </c>
      <c r="B17" s="208" t="str">
        <v>unit</v>
      </c>
      <c r="C17" s="208">
        <v>2020</v>
      </c>
      <c r="D17" s="208">
        <v>2025</v>
      </c>
      <c r="E17" s="208">
        <v>2030</v>
      </c>
      <c r="F17" s="208">
        <v>2035</v>
      </c>
      <c r="G17" s="208">
        <v>2040</v>
      </c>
      <c r="H17" s="208">
        <v>2045</v>
      </c>
      <c r="I17" s="208">
        <v>2050</v>
      </c>
      <c r="J17" s="208" t="str">
        <v>Annual change</v>
      </c>
      <c r="K17" s="208" t="str">
        <v>Source</v>
      </c>
    </row>
    <row r="18" spans="1:11" x14ac:dyDescent="0.35">
      <c r="A18" s="209" t="str">
        <v>Cost of replaced ICE powertrain</v>
      </c>
      <c r="B18" s="209" t="str">
        <v>SEK/truck</v>
      </c>
      <c r="C18" s="209">
        <v>500</v>
      </c>
      <c r="D18" s="216">
        <v>525.50502504999997</v>
      </c>
      <c r="E18" s="216">
        <v>552.31106270560235</v>
      </c>
      <c r="F18" s="216">
        <v>580.48447768499921</v>
      </c>
      <c r="G18" s="216">
        <v>610.09501997398354</v>
      </c>
      <c r="H18" s="216">
        <v>641.21599750861708</v>
      </c>
      <c r="I18" s="216">
        <v>673.92445766645312</v>
      </c>
      <c r="J18" s="212">
        <v>0.01</v>
      </c>
      <c r="K18" s="209" t="str">
        <v>See comment</v>
      </c>
    </row>
    <row r="19" spans="1:11" x14ac:dyDescent="0.35">
      <c r="A19" s="209" t="str">
        <v>Cost of replaced ICE powertrain</v>
      </c>
      <c r="B19" s="209" t="str">
        <v>SEK/kW</v>
      </c>
      <c r="C19" s="209">
        <v>650</v>
      </c>
      <c r="D19" s="216">
        <v>683.15653256499991</v>
      </c>
      <c r="E19" s="216">
        <v>718.00438151728304</v>
      </c>
      <c r="F19" s="216">
        <v>754.62982099049896</v>
      </c>
      <c r="G19" s="216">
        <v>793.12352596617859</v>
      </c>
      <c r="H19" s="216">
        <v>833.58079676120224</v>
      </c>
      <c r="I19" s="216">
        <v>876.10179496638909</v>
      </c>
      <c r="J19" s="212">
        <v>0.01</v>
      </c>
      <c r="K19" s="209" t="str">
        <v>See comment</v>
      </c>
    </row>
    <row r="20" spans="1:11" x14ac:dyDescent="0.35">
      <c r="A20" s="209" t="str">
        <v>Cost of new EV powertrain</v>
      </c>
      <c r="B20" s="209" t="str">
        <v>SEK/truck</v>
      </c>
      <c r="C20" s="215">
        <v>40000</v>
      </c>
      <c r="D20" s="216">
        <v>36156.831871999995</v>
      </c>
      <c r="E20" s="216">
        <v>32682.912275501862</v>
      </c>
      <c r="F20" s="216">
        <v>29542.764105816143</v>
      </c>
      <c r="G20" s="216">
        <v>26704.318870203766</v>
      </c>
      <c r="H20" s="216">
        <v>24138.589191155857</v>
      </c>
      <c r="I20" s="216">
        <v>21819.372775297466</v>
      </c>
      <c r="J20" s="212">
        <v>-0.02</v>
      </c>
      <c r="K20" s="209" t="str">
        <v>See comment</v>
      </c>
    </row>
    <row r="21" spans="1:11" x14ac:dyDescent="0.35">
      <c r="A21" s="209" t="str">
        <v>Cost of new EV powertrain</v>
      </c>
      <c r="B21" s="209" t="str">
        <v>SEK/kW</v>
      </c>
      <c r="C21" s="209">
        <v>190</v>
      </c>
      <c r="D21" s="216">
        <v>171.74495139199996</v>
      </c>
      <c r="E21" s="216">
        <v>155.24383330863384</v>
      </c>
      <c r="F21" s="216">
        <v>140.32812950262667</v>
      </c>
      <c r="G21" s="216">
        <v>126.84551463346789</v>
      </c>
      <c r="H21" s="216">
        <v>114.65829865799031</v>
      </c>
      <c r="I21" s="216">
        <v>103.64202068266297</v>
      </c>
      <c r="J21" s="212">
        <v>-0.02</v>
      </c>
      <c r="K21" s="209" t="str">
        <v>See comment</v>
      </c>
    </row>
    <row r="22" spans="1:11" x14ac:dyDescent="0.35">
      <c r="A22" s="209" t="str">
        <v>Vehicle OEM markup</v>
      </c>
      <c r="B22" s="209" t="str">
        <v>%</v>
      </c>
      <c r="C22" s="209">
        <v>1.48</v>
      </c>
      <c r="D22" s="220">
        <v>1.48</v>
      </c>
      <c r="E22" s="220">
        <v>1.48</v>
      </c>
      <c r="F22" s="220">
        <v>1.48</v>
      </c>
      <c r="G22" s="220">
        <v>1.48</v>
      </c>
      <c r="H22" s="220">
        <v>1.48</v>
      </c>
      <c r="I22" s="220">
        <v>1.48</v>
      </c>
      <c r="J22" s="212">
        <v>0</v>
      </c>
      <c r="K22" s="209" t="str">
        <v>See comment</v>
      </c>
    </row>
    <row r="23" spans="1:11" x14ac:dyDescent="0.35">
      <c r="A23" s="209" t="str">
        <v>ICE weight to power ratio</v>
      </c>
      <c r="B23" s="209" t="str">
        <v>kg/kW</v>
      </c>
      <c r="C23" s="209">
        <v>8.0299999999999994</v>
      </c>
      <c r="D23" s="220">
        <v>8.0299999999999994</v>
      </c>
      <c r="E23" s="220">
        <v>8.0299999999999994</v>
      </c>
      <c r="F23" s="220">
        <v>8.0299999999999994</v>
      </c>
      <c r="G23" s="220">
        <v>8.0299999999999994</v>
      </c>
      <c r="H23" s="220">
        <v>8.0299999999999994</v>
      </c>
      <c r="I23" s="220">
        <v>8.0299999999999994</v>
      </c>
      <c r="J23" s="212">
        <v>0</v>
      </c>
      <c r="K23" s="209" t="str">
        <v>See comment</v>
      </c>
    </row>
    <row r="24" spans="1:11" x14ac:dyDescent="0.35">
      <c r="A24" s="209" t="str">
        <v>BEV weight to power ratio</v>
      </c>
      <c r="B24" s="209" t="str">
        <v>kg/kW</v>
      </c>
      <c r="C24" s="209">
        <v>1.07</v>
      </c>
      <c r="D24" s="220">
        <v>1.07</v>
      </c>
      <c r="E24" s="220">
        <v>1.07</v>
      </c>
      <c r="F24" s="220">
        <v>1.07</v>
      </c>
      <c r="G24" s="220">
        <v>1.07</v>
      </c>
      <c r="H24" s="220">
        <v>1.07</v>
      </c>
      <c r="I24" s="220">
        <v>1.07</v>
      </c>
      <c r="J24" s="212">
        <v>0</v>
      </c>
      <c r="K24" s="209" t="str">
        <v>See comment</v>
      </c>
    </row>
    <row r="26" spans="1:11" x14ac:dyDescent="0.35">
      <c r="A26" s="209" t="str">
        <f>powertrains!A19</f>
        <v>Cost diff, excl. battery (EUR)</v>
      </c>
    </row>
    <row r="27" spans="1:11" x14ac:dyDescent="0.35">
      <c r="A27" s="208" t="str" cm="1">
        <f t="array" ref="A27:I31">powertrains!A20:I24</f>
        <v>vehicle class</v>
      </c>
      <c r="B27" s="208" t="str">
        <v>kW</v>
      </c>
      <c r="C27" s="208">
        <v>2020</v>
      </c>
      <c r="D27" s="208">
        <v>2025</v>
      </c>
      <c r="E27" s="208">
        <v>2030</v>
      </c>
      <c r="F27" s="208">
        <v>2035</v>
      </c>
      <c r="G27" s="208">
        <v>2040</v>
      </c>
      <c r="H27" s="208">
        <v>2045</v>
      </c>
      <c r="I27" s="208">
        <v>2050</v>
      </c>
    </row>
    <row r="28" spans="1:11" x14ac:dyDescent="0.35">
      <c r="A28" s="209" t="str">
        <v>HGV60</v>
      </c>
      <c r="B28" s="209">
        <v>750</v>
      </c>
      <c r="C28" s="216">
        <v>-43405.440000000002</v>
      </c>
      <c r="D28" s="216">
        <v>-49433.51917138022</v>
      </c>
      <c r="E28" s="216">
        <v>-55402.648196799571</v>
      </c>
      <c r="F28" s="216">
        <v>-61345.027555382803</v>
      </c>
      <c r="G28" s="216">
        <v>-67291.117562972999</v>
      </c>
      <c r="H28" s="216">
        <v>-73269.874614524844</v>
      </c>
      <c r="I28" s="216">
        <v>-79308.968250704827</v>
      </c>
    </row>
    <row r="29" spans="1:11" x14ac:dyDescent="0.35">
      <c r="A29" s="209" t="str">
        <v>HGV40</v>
      </c>
      <c r="B29" s="209">
        <v>550</v>
      </c>
      <c r="C29" s="216">
        <v>-30334.080000000002</v>
      </c>
      <c r="D29" s="216">
        <v>-34901.247680768254</v>
      </c>
      <c r="E29" s="216">
        <v>-39411.244458902591</v>
      </c>
      <c r="F29" s="216">
        <v>-43889.030690063424</v>
      </c>
      <c r="G29" s="216">
        <v>-48358.161592942684</v>
      </c>
      <c r="H29" s="216">
        <v>-52840.972908423981</v>
      </c>
      <c r="I29" s="216">
        <v>-57358.751304658479</v>
      </c>
    </row>
    <row r="30" spans="1:11" x14ac:dyDescent="0.35">
      <c r="A30" s="209" t="str">
        <v>MGV24</v>
      </c>
      <c r="B30" s="209">
        <v>300</v>
      </c>
      <c r="C30" s="216">
        <v>-13994.880000000001</v>
      </c>
      <c r="D30" s="216">
        <v>-16735.908317503297</v>
      </c>
      <c r="E30" s="216">
        <v>-19421.989786531369</v>
      </c>
      <c r="F30" s="216">
        <v>-22069.034608414197</v>
      </c>
      <c r="G30" s="216">
        <v>-24691.966630404811</v>
      </c>
      <c r="H30" s="216">
        <v>-27304.845775797901</v>
      </c>
      <c r="I30" s="216">
        <v>-29920.980122100529</v>
      </c>
    </row>
    <row r="31" spans="1:11" x14ac:dyDescent="0.35">
      <c r="A31" s="209" t="str">
        <v>MGV16</v>
      </c>
      <c r="B31" s="209">
        <v>160</v>
      </c>
      <c r="C31" s="216">
        <v>-4844.9279999999999</v>
      </c>
      <c r="D31" s="216">
        <v>-6563.3182740749171</v>
      </c>
      <c r="E31" s="216">
        <v>-8228.0071700034878</v>
      </c>
      <c r="F31" s="216">
        <v>-9849.8368026906301</v>
      </c>
      <c r="G31" s="216">
        <v>-11438.897451383598</v>
      </c>
      <c r="H31" s="216">
        <v>-13004.614581527294</v>
      </c>
      <c r="I31" s="216">
        <v>-14555.828259868074</v>
      </c>
    </row>
    <row r="33" spans="1:9" x14ac:dyDescent="0.35">
      <c r="A33" s="209" t="str">
        <f>powertrains!A26</f>
        <v>Weight diff, excl. battery (kg)</v>
      </c>
    </row>
    <row r="34" spans="1:9" x14ac:dyDescent="0.35">
      <c r="A34" s="208" t="str" cm="1">
        <f t="array" ref="A34:I38">powertrains!A27:I31</f>
        <v>vehicle class</v>
      </c>
      <c r="B34" s="208" t="str">
        <v>kW</v>
      </c>
      <c r="C34" s="208">
        <v>2020</v>
      </c>
      <c r="D34" s="208">
        <v>2025</v>
      </c>
      <c r="E34" s="208">
        <v>2030</v>
      </c>
      <c r="F34" s="208">
        <v>2035</v>
      </c>
      <c r="G34" s="208">
        <v>2040</v>
      </c>
      <c r="H34" s="208">
        <v>2045</v>
      </c>
      <c r="I34" s="208">
        <v>2050</v>
      </c>
    </row>
    <row r="35" spans="1:9" x14ac:dyDescent="0.35">
      <c r="A35" s="209" t="str">
        <v>HGV60</v>
      </c>
      <c r="B35" s="220">
        <v>750</v>
      </c>
      <c r="C35" s="216">
        <v>-5219.9999999999991</v>
      </c>
      <c r="D35" s="216">
        <v>-5219.9999999999991</v>
      </c>
      <c r="E35" s="216">
        <v>-5219.9999999999991</v>
      </c>
      <c r="F35" s="216">
        <v>-5219.9999999999991</v>
      </c>
      <c r="G35" s="216">
        <v>-5219.9999999999991</v>
      </c>
      <c r="H35" s="216">
        <v>-5219.9999999999991</v>
      </c>
      <c r="I35" s="216">
        <v>-5219.9999999999991</v>
      </c>
    </row>
    <row r="36" spans="1:9" x14ac:dyDescent="0.35">
      <c r="A36" s="209" t="str">
        <v>HGV40</v>
      </c>
      <c r="B36" s="220">
        <v>550</v>
      </c>
      <c r="C36" s="216">
        <v>-3827.9999999999995</v>
      </c>
      <c r="D36" s="216">
        <v>-3827.9999999999995</v>
      </c>
      <c r="E36" s="216">
        <v>-3827.9999999999995</v>
      </c>
      <c r="F36" s="216">
        <v>-3827.9999999999995</v>
      </c>
      <c r="G36" s="216">
        <v>-3827.9999999999995</v>
      </c>
      <c r="H36" s="216">
        <v>-3827.9999999999995</v>
      </c>
      <c r="I36" s="216">
        <v>-3827.9999999999995</v>
      </c>
    </row>
    <row r="37" spans="1:9" x14ac:dyDescent="0.35">
      <c r="A37" s="209" t="str">
        <v>MGV24</v>
      </c>
      <c r="B37" s="220">
        <v>300</v>
      </c>
      <c r="C37" s="216">
        <v>-2087.9999999999995</v>
      </c>
      <c r="D37" s="216">
        <v>-2087.9999999999995</v>
      </c>
      <c r="E37" s="216">
        <v>-2087.9999999999995</v>
      </c>
      <c r="F37" s="216">
        <v>-2087.9999999999995</v>
      </c>
      <c r="G37" s="216">
        <v>-2087.9999999999995</v>
      </c>
      <c r="H37" s="216">
        <v>-2087.9999999999995</v>
      </c>
      <c r="I37" s="216">
        <v>-2087.9999999999995</v>
      </c>
    </row>
    <row r="38" spans="1:9" x14ac:dyDescent="0.35">
      <c r="A38" s="209" t="str">
        <v>MGV16</v>
      </c>
      <c r="B38" s="220">
        <v>160</v>
      </c>
      <c r="C38" s="216">
        <v>-1113.5999999999999</v>
      </c>
      <c r="D38" s="216">
        <v>-1113.5999999999999</v>
      </c>
      <c r="E38" s="216">
        <v>-1113.5999999999999</v>
      </c>
      <c r="F38" s="216">
        <v>-1113.5999999999999</v>
      </c>
      <c r="G38" s="216">
        <v>-1113.5999999999999</v>
      </c>
      <c r="H38" s="216">
        <v>-1113.5999999999999</v>
      </c>
      <c r="I38" s="216">
        <v>-1113.5999999999999</v>
      </c>
    </row>
    <row r="40" spans="1:9" x14ac:dyDescent="0.35">
      <c r="A40" s="209" t="str">
        <f>powertrains!A33</f>
        <v>ICEV powertrain cost change (eur)</v>
      </c>
    </row>
    <row r="41" spans="1:9" x14ac:dyDescent="0.35">
      <c r="A41" s="208" t="str" cm="1">
        <f t="array" ref="A41:I45">powertrains!A34:I38</f>
        <v>vehicle class</v>
      </c>
      <c r="B41" s="208" t="str">
        <v>kW</v>
      </c>
      <c r="C41" s="208">
        <v>2020</v>
      </c>
      <c r="D41" s="208">
        <v>2025</v>
      </c>
      <c r="E41" s="208">
        <v>2030</v>
      </c>
      <c r="F41" s="208">
        <v>2035</v>
      </c>
      <c r="G41" s="208">
        <v>2040</v>
      </c>
      <c r="H41" s="208">
        <v>2045</v>
      </c>
      <c r="I41" s="208">
        <v>2050</v>
      </c>
    </row>
    <row r="42" spans="1:9" x14ac:dyDescent="0.35">
      <c r="A42" s="209" t="str">
        <v>HGV60</v>
      </c>
      <c r="B42" s="220">
        <v>750</v>
      </c>
      <c r="C42" s="216">
        <v>0</v>
      </c>
      <c r="D42" s="216">
        <v>3536.7838640854934</v>
      </c>
      <c r="E42" s="216">
        <v>7253.9792502708924</v>
      </c>
      <c r="F42" s="216">
        <v>11160.788959337053</v>
      </c>
      <c r="G42" s="216">
        <v>15266.885227393896</v>
      </c>
      <c r="H42" s="216">
        <v>19582.433671799732</v>
      </c>
      <c r="I42" s="216">
        <v>24118.118458563669</v>
      </c>
    </row>
    <row r="43" spans="1:9" x14ac:dyDescent="0.35">
      <c r="A43" s="209" t="str">
        <v>HGV40</v>
      </c>
      <c r="B43" s="220">
        <v>550</v>
      </c>
      <c r="C43" s="216">
        <v>0</v>
      </c>
      <c r="D43" s="216">
        <v>2594.6078347184566</v>
      </c>
      <c r="E43" s="216">
        <v>5321.5667450757774</v>
      </c>
      <c r="F43" s="216">
        <v>8187.6279660710343</v>
      </c>
      <c r="G43" s="216">
        <v>11199.887113538965</v>
      </c>
      <c r="H43" s="216">
        <v>14365.801751033412</v>
      </c>
      <c r="I43" s="216">
        <v>17693.209852798758</v>
      </c>
    </row>
    <row r="44" spans="1:9" x14ac:dyDescent="0.35">
      <c r="A44" s="209" t="str">
        <v>MGV24</v>
      </c>
      <c r="B44" s="220">
        <v>300</v>
      </c>
      <c r="C44" s="216">
        <v>0</v>
      </c>
      <c r="D44" s="216">
        <v>1416.8877980096602</v>
      </c>
      <c r="E44" s="216">
        <v>2906.0511135818838</v>
      </c>
      <c r="F44" s="216">
        <v>4471.1767244885123</v>
      </c>
      <c r="G44" s="216">
        <v>6116.1394712203</v>
      </c>
      <c r="H44" s="216">
        <v>7845.0118500755088</v>
      </c>
      <c r="I44" s="216">
        <v>9662.0740955926176</v>
      </c>
    </row>
    <row r="45" spans="1:9" x14ac:dyDescent="0.35">
      <c r="A45" s="209" t="str">
        <v>MGV16</v>
      </c>
      <c r="B45" s="220">
        <v>160</v>
      </c>
      <c r="C45" s="216">
        <v>0</v>
      </c>
      <c r="D45" s="216">
        <v>757.36457745273378</v>
      </c>
      <c r="E45" s="216">
        <v>1553.3623599453038</v>
      </c>
      <c r="F45" s="216">
        <v>2389.9640292022996</v>
      </c>
      <c r="G45" s="216">
        <v>3269.2407915218482</v>
      </c>
      <c r="H45" s="216">
        <v>4193.3695055390826</v>
      </c>
      <c r="I45" s="216">
        <v>5164.6380715571795</v>
      </c>
    </row>
    <row r="47" spans="1:9" x14ac:dyDescent="0.35">
      <c r="A47" s="208" t="s">
        <v>339</v>
      </c>
    </row>
    <row r="48" spans="1:9" x14ac:dyDescent="0.35">
      <c r="A48" s="208" t="str" cm="1">
        <f t="array" ref="A48:H75">vehicles!B3:I30</f>
        <v>group</v>
      </c>
      <c r="B48" s="208" t="str">
        <v>variable</v>
      </c>
      <c r="C48" s="208" t="str">
        <v>unit</v>
      </c>
      <c r="D48" s="208" t="str">
        <v>HGV60</v>
      </c>
      <c r="E48" s="208" t="str">
        <v>HGV40</v>
      </c>
      <c r="F48" s="208" t="str">
        <v>MGV24</v>
      </c>
      <c r="G48" s="208" t="str">
        <v>MGV16</v>
      </c>
      <c r="H48" s="208" t="str">
        <v>Annual change</v>
      </c>
      <c r="I48" s="208" t="str" cm="1">
        <f t="array" ref="I48:I75">vehicles!K3:K30</f>
        <v>Source/reasoning</v>
      </c>
    </row>
    <row r="49" spans="1:9" x14ac:dyDescent="0.35">
      <c r="A49" s="209" t="str">
        <v>Common</v>
      </c>
      <c r="B49" s="209" t="str">
        <v>Annual distance</v>
      </c>
      <c r="C49" s="209" t="str">
        <v>km</v>
      </c>
      <c r="D49" s="215">
        <v>90000</v>
      </c>
      <c r="E49" s="215">
        <v>115000</v>
      </c>
      <c r="F49" s="215">
        <v>80000</v>
      </c>
      <c r="G49" s="215">
        <v>42000</v>
      </c>
      <c r="H49" s="212">
        <v>0</v>
      </c>
      <c r="I49" s="209" t="str">
        <v>Values for Swedish-registered trucks, from Trafikverket, "Behov av laddinfrastruktur för snabbladdning av tunga fordon längs större vägar", fig. 13</v>
      </c>
    </row>
    <row r="50" spans="1:9" x14ac:dyDescent="0.35">
      <c r="A50" s="209" t="str">
        <v>Common</v>
      </c>
      <c r="B50" s="209" t="str">
        <v>Utilization</v>
      </c>
      <c r="C50" s="209" t="str">
        <v>calendar days per year</v>
      </c>
      <c r="D50" s="209">
        <v>230</v>
      </c>
      <c r="E50" s="209">
        <v>230</v>
      </c>
      <c r="F50" s="209">
        <v>230</v>
      </c>
      <c r="G50" s="209">
        <v>230</v>
      </c>
      <c r="H50" s="212">
        <v>0</v>
      </c>
      <c r="I50" s="209" t="str">
        <v>Informed guess</v>
      </c>
    </row>
    <row r="51" spans="1:9" x14ac:dyDescent="0.35">
      <c r="A51" s="209" t="str">
        <v>Common</v>
      </c>
      <c r="B51" s="209" t="str">
        <v>Max time in transit</v>
      </c>
      <c r="C51" s="209" t="str">
        <v>h per day</v>
      </c>
      <c r="D51" s="209">
        <v>9</v>
      </c>
      <c r="E51" s="209">
        <v>11</v>
      </c>
      <c r="F51" s="209">
        <v>9</v>
      </c>
      <c r="G51" s="209">
        <v>9</v>
      </c>
      <c r="H51" s="212">
        <v>0</v>
      </c>
      <c r="I51" s="209" t="str">
        <v>Excluding breaks, loading and unloading. Fresh produce sometimes operates with two drivers.</v>
      </c>
    </row>
    <row r="52" spans="1:9" x14ac:dyDescent="0.35">
      <c r="A52" s="209" t="str">
        <v>Common</v>
      </c>
      <c r="B52" s="209" t="str">
        <v>Max time in use</v>
      </c>
      <c r="C52" s="209" t="str">
        <v>h per day</v>
      </c>
      <c r="D52" s="209">
        <v>12</v>
      </c>
      <c r="E52" s="209">
        <v>15</v>
      </c>
      <c r="F52" s="209">
        <v>12</v>
      </c>
      <c r="G52" s="209">
        <v>12</v>
      </c>
      <c r="H52" s="212">
        <v>0</v>
      </c>
      <c r="I52" s="209" t="str">
        <v>Including breaks, loading and unloading.</v>
      </c>
    </row>
    <row r="53" spans="1:9" x14ac:dyDescent="0.35">
      <c r="A53" s="209" t="str">
        <v>Common</v>
      </c>
      <c r="B53" s="209" t="str">
        <v>Power, peak</v>
      </c>
      <c r="C53" s="209" t="str">
        <v>kW</v>
      </c>
      <c r="D53" s="227">
        <v>750</v>
      </c>
      <c r="E53" s="227">
        <v>550</v>
      </c>
      <c r="F53" s="227">
        <v>300</v>
      </c>
      <c r="G53" s="227">
        <v>160</v>
      </c>
      <c r="H53" s="212">
        <v>0</v>
      </c>
      <c r="I53" s="209" t="str">
        <v>Nils-Gunnar Vågstedt, Scania, private communication</v>
      </c>
    </row>
    <row r="54" spans="1:9" x14ac:dyDescent="0.35">
      <c r="A54" s="209" t="str">
        <v>Common</v>
      </c>
      <c r="B54" s="209" t="str">
        <v>Tyres</v>
      </c>
      <c r="C54" s="209" t="str">
        <v>euro per km</v>
      </c>
      <c r="D54" s="221">
        <v>0.11327999999999999</v>
      </c>
      <c r="E54" s="221">
        <v>9.0240000000000001E-2</v>
      </c>
      <c r="F54" s="221">
        <v>6.1440000000000002E-2</v>
      </c>
      <c r="G54" s="221">
        <v>3.0720000000000001E-2</v>
      </c>
      <c r="H54" s="212">
        <v>0</v>
      </c>
      <c r="I54" s="209" t="str">
        <v>ASEK 7</v>
      </c>
    </row>
    <row r="55" spans="1:9" x14ac:dyDescent="0.35">
      <c r="A55" s="209" t="str">
        <v>Common</v>
      </c>
      <c r="B55" s="209" t="str">
        <v>Cargo capacity value</v>
      </c>
      <c r="C55" s="209" t="str">
        <v>euro per ton-km</v>
      </c>
      <c r="D55" s="209">
        <v>2.5000000000000001E-2</v>
      </c>
      <c r="E55" s="209">
        <v>2.5000000000000001E-2</v>
      </c>
      <c r="F55" s="209">
        <v>3.5000000000000003E-2</v>
      </c>
      <c r="G55" s="209">
        <v>0.05</v>
      </c>
      <c r="H55" s="212">
        <v>0</v>
      </c>
      <c r="I55" s="209" t="str">
        <v>Roger Blom, CEO at Ernsts Express, private communication</v>
      </c>
    </row>
    <row r="56" spans="1:9" x14ac:dyDescent="0.35">
      <c r="A56" s="209" t="str">
        <v>Common</v>
      </c>
      <c r="B56" s="209" t="str">
        <v>Cargo capacity value</v>
      </c>
      <c r="C56" s="209" t="str">
        <v>euro per m3-km</v>
      </c>
      <c r="D56" s="215">
        <v>7.000000000000001E-3</v>
      </c>
      <c r="E56" s="215">
        <v>7.000000000000001E-3</v>
      </c>
      <c r="F56" s="215">
        <v>9.8000000000000014E-3</v>
      </c>
      <c r="G56" s="215">
        <v>1.4000000000000002E-2</v>
      </c>
      <c r="H56" s="212">
        <v>0</v>
      </c>
      <c r="I56" s="209" t="str">
        <v>280 kg/m3, lost the source</v>
      </c>
    </row>
    <row r="57" spans="1:9" x14ac:dyDescent="0.35">
      <c r="A57" s="209" t="str">
        <v>Common</v>
      </c>
      <c r="B57" s="209" t="str">
        <v>Total weight limit</v>
      </c>
      <c r="C57" s="209" t="str">
        <v>kg</v>
      </c>
      <c r="D57" s="209">
        <v>60000</v>
      </c>
      <c r="E57" s="209">
        <v>40000</v>
      </c>
      <c r="F57" s="209">
        <v>24000</v>
      </c>
      <c r="G57" s="209">
        <v>16000</v>
      </c>
      <c r="H57" s="212">
        <v>0</v>
      </c>
      <c r="I57" s="209" t="str">
        <v>Definition</v>
      </c>
    </row>
    <row r="58" spans="1:9" x14ac:dyDescent="0.35">
      <c r="A58" s="209" t="str">
        <v>Common</v>
      </c>
      <c r="B58" s="209" t="str">
        <v>Depot stop</v>
      </c>
      <c r="C58" s="209" t="str">
        <v>h</v>
      </c>
      <c r="D58" s="209">
        <v>12</v>
      </c>
      <c r="E58" s="209">
        <v>9</v>
      </c>
      <c r="F58" s="209">
        <v>12</v>
      </c>
      <c r="G58" s="209">
        <v>12</v>
      </c>
      <c r="H58" s="212">
        <v>0</v>
      </c>
      <c r="I58" s="209" t="str">
        <v>Complement to utilization</v>
      </c>
    </row>
    <row r="59" spans="1:9" x14ac:dyDescent="0.35">
      <c r="A59" s="209" t="str">
        <v>Common</v>
      </c>
      <c r="B59" s="209" t="str">
        <v>Destination stop</v>
      </c>
      <c r="C59" s="209" t="str">
        <v>h</v>
      </c>
      <c r="D59" s="209">
        <v>1</v>
      </c>
      <c r="E59" s="209">
        <v>1</v>
      </c>
      <c r="F59" s="209">
        <v>0.5</v>
      </c>
      <c r="G59" s="209">
        <v>0.2</v>
      </c>
      <c r="H59" s="212">
        <v>0</v>
      </c>
      <c r="I59" s="209" t="str">
        <v>Guess</v>
      </c>
    </row>
    <row r="60" spans="1:9" x14ac:dyDescent="0.35">
      <c r="A60" s="209" t="str">
        <v>Common</v>
      </c>
      <c r="B60" s="209" t="str">
        <v>Rest stop</v>
      </c>
      <c r="C60" s="209" t="str">
        <v>h</v>
      </c>
      <c r="D60" s="209">
        <v>0.75</v>
      </c>
      <c r="E60" s="209">
        <v>0.75</v>
      </c>
      <c r="F60" s="209">
        <v>0.75</v>
      </c>
      <c r="G60" s="209">
        <v>0.75</v>
      </c>
      <c r="H60" s="212">
        <v>0</v>
      </c>
      <c r="I60" s="209" t="str">
        <v>Guess</v>
      </c>
    </row>
    <row r="61" spans="1:9" x14ac:dyDescent="0.35">
      <c r="A61" s="209" t="str">
        <v>Common</v>
      </c>
      <c r="B61" s="209" t="str">
        <v>Drive session</v>
      </c>
      <c r="C61" s="209" t="str">
        <v>h</v>
      </c>
      <c r="D61" s="227">
        <v>4.5</v>
      </c>
      <c r="E61" s="227">
        <v>4.5</v>
      </c>
      <c r="F61" s="227">
        <v>4.5</v>
      </c>
      <c r="G61" s="227">
        <v>4.5</v>
      </c>
      <c r="H61" s="212">
        <v>0</v>
      </c>
      <c r="I61" s="209" t="str">
        <v>EU regulation</v>
      </c>
    </row>
    <row r="62" spans="1:9" x14ac:dyDescent="0.35">
      <c r="A62" s="209" t="str">
        <v>Common</v>
      </c>
      <c r="B62" s="209" t="str">
        <v>Driver cost</v>
      </c>
      <c r="C62" s="209" t="str">
        <v>euro per h</v>
      </c>
      <c r="D62" s="215">
        <v>33.6</v>
      </c>
      <c r="E62" s="215">
        <v>33.6</v>
      </c>
      <c r="F62" s="215">
        <v>30</v>
      </c>
      <c r="G62" s="215">
        <v>30</v>
      </c>
      <c r="H62" s="212">
        <v>0</v>
      </c>
      <c r="I62" s="209" t="str">
        <v>Roger Blom, CEO at Ernsts Express, private communication</v>
      </c>
    </row>
    <row r="63" spans="1:9" x14ac:dyDescent="0.35">
      <c r="A63" s="209" t="str">
        <v>ICEV</v>
      </c>
      <c r="B63" s="209" t="str">
        <v>Chassis weight</v>
      </c>
      <c r="C63" s="209" t="str">
        <v>kg</v>
      </c>
      <c r="D63" s="215">
        <v>23000</v>
      </c>
      <c r="E63" s="215">
        <v>20000</v>
      </c>
      <c r="F63" s="215">
        <v>10000</v>
      </c>
      <c r="G63" s="215">
        <v>5000</v>
      </c>
      <c r="H63" s="212">
        <v>0</v>
      </c>
      <c r="I63" s="209" t="str">
        <v>ASEK 7</v>
      </c>
    </row>
    <row r="64" spans="1:9" x14ac:dyDescent="0.35">
      <c r="A64" s="209" t="str">
        <v>ICEV</v>
      </c>
      <c r="B64" s="209" t="str">
        <v>Chassis cost, 2020</v>
      </c>
      <c r="C64" s="209" t="str">
        <v>euro</v>
      </c>
      <c r="D64" s="213">
        <v>259200</v>
      </c>
      <c r="E64" s="213">
        <v>235200</v>
      </c>
      <c r="F64" s="213">
        <v>148800</v>
      </c>
      <c r="G64" s="213">
        <v>91200</v>
      </c>
      <c r="H64" s="212">
        <v>0</v>
      </c>
      <c r="I64" s="209" t="str">
        <v>ASEK 7, Kapitel 14 Operativa trafikeringskostnader för godstransporter</v>
      </c>
    </row>
    <row r="65" spans="1:11" x14ac:dyDescent="0.35">
      <c r="A65" s="209" t="str">
        <v>ICEV</v>
      </c>
      <c r="B65" s="209" t="str">
        <v>Lifetime</v>
      </c>
      <c r="C65" s="209" t="str">
        <v>years</v>
      </c>
      <c r="D65" s="213">
        <v>10</v>
      </c>
      <c r="E65" s="213">
        <v>10</v>
      </c>
      <c r="F65" s="213">
        <v>7</v>
      </c>
      <c r="G65" s="213">
        <v>7</v>
      </c>
      <c r="H65" s="212">
        <v>0</v>
      </c>
      <c r="I65" s="209" t="str">
        <v>ASEK 7, Kapitel 14 Operativa trafikeringskostnader för godstransporter</v>
      </c>
    </row>
    <row r="66" spans="1:11" x14ac:dyDescent="0.35">
      <c r="A66" s="209" t="str">
        <v>ICEV</v>
      </c>
      <c r="B66" s="209" t="str">
        <v>Maintenance cost</v>
      </c>
      <c r="C66" s="209" t="str">
        <v>euro per km</v>
      </c>
      <c r="D66" s="221">
        <v>9.9840000000000012E-2</v>
      </c>
      <c r="E66" s="221">
        <v>0.11423999999999999</v>
      </c>
      <c r="F66" s="221">
        <v>0.12096</v>
      </c>
      <c r="G66" s="221">
        <v>0.10176</v>
      </c>
      <c r="H66" s="212">
        <v>0</v>
      </c>
      <c r="I66" s="209" t="str">
        <v>ASEK 7, Kapitel 14 Operativa trafikeringskostnader för godstransporter</v>
      </c>
    </row>
    <row r="67" spans="1:11" x14ac:dyDescent="0.35">
      <c r="A67" s="209" t="str">
        <v>ICEV</v>
      </c>
      <c r="B67" s="209" t="str">
        <v>Residual value at end of life</v>
      </c>
      <c r="C67" s="209" t="str">
        <v>ratio</v>
      </c>
      <c r="D67" s="212">
        <v>0.09</v>
      </c>
      <c r="E67" s="212">
        <v>0.09</v>
      </c>
      <c r="F67" s="212">
        <v>0.09</v>
      </c>
      <c r="G67" s="212">
        <v>0.09</v>
      </c>
      <c r="H67" s="222">
        <v>0</v>
      </c>
      <c r="I67" s="209" t="str">
        <v>ASEK 7, Kapitel 14 Operativa trafikeringskostnader för godstransporter</v>
      </c>
    </row>
    <row r="68" spans="1:11" x14ac:dyDescent="0.35">
      <c r="A68" s="209" t="str">
        <v>ICEV</v>
      </c>
      <c r="B68" s="209" t="str">
        <v>Fuel consumption</v>
      </c>
      <c r="C68" s="209" t="str">
        <v>liter per km</v>
      </c>
      <c r="D68" s="210">
        <v>0.35</v>
      </c>
      <c r="E68" s="210">
        <v>0.27</v>
      </c>
      <c r="F68" s="210">
        <v>0.22</v>
      </c>
      <c r="G68" s="210">
        <v>0.16</v>
      </c>
      <c r="H68" s="228">
        <v>-5.0000000000000001E-3</v>
      </c>
      <c r="I68" s="209" t="str">
        <v>ASEK 7, Kapitel 14 Operativa trafikeringskostnader för godstransporter (50% body, enligt NG)</v>
      </c>
    </row>
    <row r="69" spans="1:11" x14ac:dyDescent="0.35">
      <c r="A69" s="209" t="str">
        <v>BEV</v>
      </c>
      <c r="B69" s="209" t="str">
        <v>Maintenance cost</v>
      </c>
      <c r="C69" s="209" t="str">
        <v>euro per km</v>
      </c>
      <c r="D69" s="223">
        <v>3.9936000000000006E-2</v>
      </c>
      <c r="E69" s="223">
        <v>4.5696000000000001E-2</v>
      </c>
      <c r="F69" s="223">
        <v>4.8384000000000003E-2</v>
      </c>
      <c r="G69" s="223">
        <v>4.0704000000000004E-2</v>
      </c>
      <c r="H69" s="222">
        <v>0</v>
      </c>
      <c r="I69" s="209" t="str">
        <v>40% av ICEV</v>
      </c>
    </row>
    <row r="70" spans="1:11" x14ac:dyDescent="0.35">
      <c r="A70" s="209" t="str">
        <v>BEV</v>
      </c>
      <c r="B70" s="209" t="str">
        <v>Residual value at end of life</v>
      </c>
      <c r="C70" s="209" t="str">
        <v>ratio</v>
      </c>
      <c r="D70" s="219">
        <v>0.09</v>
      </c>
      <c r="E70" s="219">
        <v>0.09</v>
      </c>
      <c r="F70" s="219">
        <v>0.09</v>
      </c>
      <c r="G70" s="219">
        <v>0.09</v>
      </c>
      <c r="H70" s="222">
        <v>0</v>
      </c>
      <c r="I70" s="209" t="str">
        <v>Same as ICEV</v>
      </c>
    </row>
    <row r="71" spans="1:11" x14ac:dyDescent="0.35">
      <c r="A71" s="209" t="str">
        <v>BEV</v>
      </c>
      <c r="B71" s="209" t="str">
        <v>Energy consumption</v>
      </c>
      <c r="C71" s="209" t="str">
        <v>kWh per km</v>
      </c>
      <c r="D71" s="211">
        <v>1.4573061176470585</v>
      </c>
      <c r="E71" s="211">
        <v>1.1242075764705881</v>
      </c>
      <c r="F71" s="211">
        <v>0.6412146917647058</v>
      </c>
      <c r="G71" s="211">
        <v>0.46633795764705877</v>
      </c>
      <c r="H71" s="222">
        <v>-6.0000000000000001E-3</v>
      </c>
      <c r="I71" s="209" t="str">
        <v>ICEV consumption, diesel energy density and propulsion efficiency difference. With regen, propulsion is a smaller share of total energy.</v>
      </c>
    </row>
    <row r="72" spans="1:11" x14ac:dyDescent="0.35">
      <c r="A72" s="209" t="str">
        <v>BEV</v>
      </c>
      <c r="B72" s="209" t="str">
        <v>Min range buffer</v>
      </c>
      <c r="C72" s="209" t="str">
        <v>km</v>
      </c>
      <c r="D72" s="213">
        <v>50</v>
      </c>
      <c r="E72" s="213">
        <v>50</v>
      </c>
      <c r="F72" s="213">
        <v>30</v>
      </c>
      <c r="G72" s="213">
        <v>20</v>
      </c>
      <c r="H72" s="222">
        <v>0</v>
      </c>
      <c r="I72" s="209" t="str">
        <v>Guess</v>
      </c>
    </row>
    <row r="73" spans="1:11" x14ac:dyDescent="0.35">
      <c r="A73" s="209" t="str">
        <v>BEV</v>
      </c>
      <c r="B73" s="209" t="str">
        <v>Lifetime 2020</v>
      </c>
      <c r="C73" s="209" t="str">
        <v>years</v>
      </c>
      <c r="D73" s="214">
        <v>10</v>
      </c>
      <c r="E73" s="214">
        <v>10</v>
      </c>
      <c r="F73" s="214">
        <v>7</v>
      </c>
      <c r="G73" s="214">
        <v>7</v>
      </c>
      <c r="H73" s="222" t="str">
        <v/>
      </c>
      <c r="I73" s="209" t="str">
        <v>Nils-Gunnar Vågstedt, Scania, and Anders Berger, Volvo Trucks, private communication</v>
      </c>
    </row>
    <row r="74" spans="1:11" x14ac:dyDescent="0.35">
      <c r="A74" s="209" t="str">
        <v>BEV</v>
      </c>
      <c r="B74" s="209" t="str">
        <v>Lifetime 2035</v>
      </c>
      <c r="C74" s="209" t="str">
        <v>years</v>
      </c>
      <c r="D74" s="213">
        <v>15</v>
      </c>
      <c r="E74" s="213">
        <v>15</v>
      </c>
      <c r="F74" s="213">
        <v>12</v>
      </c>
      <c r="G74" s="213">
        <v>12</v>
      </c>
      <c r="H74" s="222" t="str">
        <v/>
      </c>
      <c r="I74" s="209" t="str">
        <v>Nils-Gunnar Vågstedt, Scania, and Anders Berger, Volvo Trucks, private communication</v>
      </c>
    </row>
    <row r="75" spans="1:11" x14ac:dyDescent="0.35">
      <c r="A75" s="209" t="str">
        <v>BEV</v>
      </c>
      <c r="B75" s="209" t="str">
        <v>Energy per day of operation</v>
      </c>
      <c r="C75" s="209" t="str">
        <v>kWh</v>
      </c>
      <c r="D75" s="214">
        <v>570.25021994884901</v>
      </c>
      <c r="E75" s="214">
        <v>562.10378823529402</v>
      </c>
      <c r="F75" s="214">
        <v>223.03119713554986</v>
      </c>
      <c r="G75" s="214">
        <v>85.157366179028131</v>
      </c>
      <c r="H75" s="222" t="str">
        <v/>
      </c>
      <c r="I75" s="209">
        <v>0</v>
      </c>
    </row>
    <row r="76" spans="1:11" x14ac:dyDescent="0.35">
      <c r="H76" s="222"/>
    </row>
    <row r="78" spans="1:11" x14ac:dyDescent="0.35">
      <c r="A78" s="208" t="str" cm="1">
        <f t="array" ref="A78:K107">vehicles!A52:K81</f>
        <v>group</v>
      </c>
      <c r="B78" s="208" t="str">
        <v>subgroup</v>
      </c>
      <c r="C78" s="208" t="str">
        <v>variable</v>
      </c>
      <c r="D78" s="208" t="str">
        <v>unit</v>
      </c>
      <c r="E78" s="208">
        <v>2020</v>
      </c>
      <c r="F78" s="208">
        <v>2025</v>
      </c>
      <c r="G78" s="208">
        <v>2030</v>
      </c>
      <c r="H78" s="208">
        <v>2035</v>
      </c>
      <c r="I78" s="208">
        <v>2040</v>
      </c>
      <c r="J78" s="208">
        <v>2045</v>
      </c>
      <c r="K78" s="208">
        <v>2050</v>
      </c>
    </row>
    <row r="79" spans="1:11" x14ac:dyDescent="0.35">
      <c r="A79" s="209" t="str">
        <v>HGV60</v>
      </c>
      <c r="B79" s="209" t="str">
        <v>Common</v>
      </c>
      <c r="C79" s="209" t="str">
        <v>Annual distance</v>
      </c>
      <c r="D79" s="209" t="str">
        <v>km</v>
      </c>
      <c r="E79" s="216">
        <v>90000</v>
      </c>
      <c r="F79" s="216">
        <v>90000</v>
      </c>
      <c r="G79" s="216">
        <v>90000</v>
      </c>
      <c r="H79" s="216">
        <v>90000</v>
      </c>
      <c r="I79" s="216">
        <v>90000</v>
      </c>
      <c r="J79" s="216">
        <v>90000</v>
      </c>
      <c r="K79" s="216">
        <v>90000</v>
      </c>
    </row>
    <row r="80" spans="1:11" x14ac:dyDescent="0.35">
      <c r="A80" s="209" t="str">
        <v>HGV60</v>
      </c>
      <c r="B80" s="209" t="str">
        <v>Common</v>
      </c>
      <c r="C80" s="209" t="str">
        <v>Utilization</v>
      </c>
      <c r="D80" s="209" t="str">
        <v>calendar days per year</v>
      </c>
      <c r="E80" s="220">
        <v>230</v>
      </c>
      <c r="F80" s="220">
        <v>230</v>
      </c>
      <c r="G80" s="220">
        <v>230</v>
      </c>
      <c r="H80" s="220">
        <v>230</v>
      </c>
      <c r="I80" s="220">
        <v>230</v>
      </c>
      <c r="J80" s="220">
        <v>230</v>
      </c>
      <c r="K80" s="220">
        <v>230</v>
      </c>
    </row>
    <row r="81" spans="1:11" x14ac:dyDescent="0.35">
      <c r="A81" s="209" t="str">
        <v>HGV60</v>
      </c>
      <c r="B81" s="209" t="str">
        <v>Common</v>
      </c>
      <c r="C81" s="209" t="str">
        <v>Max time in transit</v>
      </c>
      <c r="D81" s="209" t="str">
        <v>h per day</v>
      </c>
      <c r="E81" s="214">
        <v>9</v>
      </c>
      <c r="F81" s="214">
        <v>9</v>
      </c>
      <c r="G81" s="214">
        <v>9</v>
      </c>
      <c r="H81" s="214">
        <v>9</v>
      </c>
      <c r="I81" s="214">
        <v>9</v>
      </c>
      <c r="J81" s="214">
        <v>9</v>
      </c>
      <c r="K81" s="214">
        <v>9</v>
      </c>
    </row>
    <row r="82" spans="1:11" x14ac:dyDescent="0.35">
      <c r="A82" s="209" t="str">
        <v>HGV60</v>
      </c>
      <c r="B82" s="209" t="str">
        <v>Common</v>
      </c>
      <c r="C82" s="209" t="str">
        <v>Max time in use</v>
      </c>
      <c r="D82" s="209" t="str">
        <v>h per day</v>
      </c>
      <c r="E82" s="220">
        <v>12</v>
      </c>
      <c r="F82" s="220">
        <v>12</v>
      </c>
      <c r="G82" s="220">
        <v>12</v>
      </c>
      <c r="H82" s="220">
        <v>12</v>
      </c>
      <c r="I82" s="220">
        <v>12</v>
      </c>
      <c r="J82" s="220">
        <v>12</v>
      </c>
      <c r="K82" s="220">
        <v>12</v>
      </c>
    </row>
    <row r="83" spans="1:11" x14ac:dyDescent="0.35">
      <c r="A83" s="209" t="str">
        <v>HGV60</v>
      </c>
      <c r="B83" s="209" t="str">
        <v>Common</v>
      </c>
      <c r="C83" s="209" t="str">
        <v>Power, peak</v>
      </c>
      <c r="D83" s="209" t="str">
        <v>kW</v>
      </c>
      <c r="E83" s="214">
        <v>750</v>
      </c>
      <c r="F83" s="214">
        <v>750</v>
      </c>
      <c r="G83" s="214">
        <v>750</v>
      </c>
      <c r="H83" s="214">
        <v>750</v>
      </c>
      <c r="I83" s="214">
        <v>750</v>
      </c>
      <c r="J83" s="214">
        <v>750</v>
      </c>
      <c r="K83" s="214">
        <v>750</v>
      </c>
    </row>
    <row r="84" spans="1:11" x14ac:dyDescent="0.35">
      <c r="A84" s="209" t="str">
        <v>HGV60</v>
      </c>
      <c r="B84" s="209" t="str">
        <v>Common</v>
      </c>
      <c r="C84" s="209" t="str">
        <v>Tyres</v>
      </c>
      <c r="D84" s="209" t="str">
        <v>euro per km</v>
      </c>
      <c r="E84" s="211">
        <v>0.11327999999999999</v>
      </c>
      <c r="F84" s="211">
        <v>0.11327999999999999</v>
      </c>
      <c r="G84" s="211">
        <v>0.11327999999999999</v>
      </c>
      <c r="H84" s="211">
        <v>0.11327999999999999</v>
      </c>
      <c r="I84" s="211">
        <v>0.11327999999999999</v>
      </c>
      <c r="J84" s="211">
        <v>0.11327999999999999</v>
      </c>
      <c r="K84" s="211">
        <v>0.11327999999999999</v>
      </c>
    </row>
    <row r="85" spans="1:11" x14ac:dyDescent="0.35">
      <c r="A85" s="209" t="str">
        <v>HGV60</v>
      </c>
      <c r="B85" s="209" t="str">
        <v>Common</v>
      </c>
      <c r="C85" s="209" t="str">
        <v>Cargo capacity value</v>
      </c>
      <c r="D85" s="209" t="str">
        <v>euro per ton-km</v>
      </c>
      <c r="E85" s="220">
        <v>2.5000000000000001E-2</v>
      </c>
      <c r="F85" s="220">
        <v>2.5000000000000001E-2</v>
      </c>
      <c r="G85" s="220">
        <v>2.5000000000000001E-2</v>
      </c>
      <c r="H85" s="220">
        <v>2.5000000000000001E-2</v>
      </c>
      <c r="I85" s="220">
        <v>2.5000000000000001E-2</v>
      </c>
      <c r="J85" s="220">
        <v>2.5000000000000001E-2</v>
      </c>
      <c r="K85" s="220">
        <v>2.5000000000000001E-2</v>
      </c>
    </row>
    <row r="86" spans="1:11" x14ac:dyDescent="0.35">
      <c r="A86" s="209" t="str">
        <v>HGV60</v>
      </c>
      <c r="B86" s="209" t="str">
        <v>Common</v>
      </c>
      <c r="C86" s="209" t="str">
        <v>Cargo capacity value</v>
      </c>
      <c r="D86" s="209" t="str">
        <v>euro per m3-km</v>
      </c>
      <c r="E86" s="240">
        <v>7.000000000000001E-3</v>
      </c>
      <c r="F86" s="240">
        <v>7.000000000000001E-3</v>
      </c>
      <c r="G86" s="240">
        <v>7.000000000000001E-3</v>
      </c>
      <c r="H86" s="240">
        <v>7.000000000000001E-3</v>
      </c>
      <c r="I86" s="240">
        <v>7.000000000000001E-3</v>
      </c>
      <c r="J86" s="240">
        <v>7.000000000000001E-3</v>
      </c>
      <c r="K86" s="240">
        <v>7.000000000000001E-3</v>
      </c>
    </row>
    <row r="87" spans="1:11" x14ac:dyDescent="0.35">
      <c r="A87" s="209" t="str">
        <v>HGV60</v>
      </c>
      <c r="B87" s="209" t="str">
        <v>Common</v>
      </c>
      <c r="C87" s="209" t="str">
        <v>Total weight limit</v>
      </c>
      <c r="D87" s="209" t="str">
        <v>kg</v>
      </c>
      <c r="E87" s="220">
        <v>60000</v>
      </c>
      <c r="F87" s="220">
        <v>60000</v>
      </c>
      <c r="G87" s="220">
        <v>60000</v>
      </c>
      <c r="H87" s="220">
        <v>60000</v>
      </c>
      <c r="I87" s="220">
        <v>60000</v>
      </c>
      <c r="J87" s="220">
        <v>60000</v>
      </c>
      <c r="K87" s="220">
        <v>60000</v>
      </c>
    </row>
    <row r="88" spans="1:11" x14ac:dyDescent="0.35">
      <c r="A88" s="209" t="str">
        <v>HGV60</v>
      </c>
      <c r="B88" s="209" t="str">
        <v>Common</v>
      </c>
      <c r="C88" s="209" t="str">
        <v>Depot stop</v>
      </c>
      <c r="D88" s="209" t="str">
        <v>h</v>
      </c>
      <c r="E88" s="224">
        <v>12</v>
      </c>
      <c r="F88" s="224">
        <v>12</v>
      </c>
      <c r="G88" s="224">
        <v>12</v>
      </c>
      <c r="H88" s="224">
        <v>12</v>
      </c>
      <c r="I88" s="224">
        <v>12</v>
      </c>
      <c r="J88" s="224">
        <v>12</v>
      </c>
      <c r="K88" s="224">
        <v>12</v>
      </c>
    </row>
    <row r="89" spans="1:11" x14ac:dyDescent="0.35">
      <c r="A89" s="209" t="str">
        <v>HGV60</v>
      </c>
      <c r="B89" s="209" t="str">
        <v>Common</v>
      </c>
      <c r="C89" s="209" t="str">
        <v>Destination stop</v>
      </c>
      <c r="D89" s="209" t="str">
        <v>h</v>
      </c>
      <c r="E89" s="224">
        <v>1</v>
      </c>
      <c r="F89" s="224">
        <v>1</v>
      </c>
      <c r="G89" s="224">
        <v>1</v>
      </c>
      <c r="H89" s="224">
        <v>1</v>
      </c>
      <c r="I89" s="224">
        <v>1</v>
      </c>
      <c r="J89" s="224">
        <v>1</v>
      </c>
      <c r="K89" s="224">
        <v>1</v>
      </c>
    </row>
    <row r="90" spans="1:11" x14ac:dyDescent="0.35">
      <c r="A90" s="209" t="str">
        <v>HGV60</v>
      </c>
      <c r="B90" s="209" t="str">
        <v>Common</v>
      </c>
      <c r="C90" s="209" t="str">
        <v>Rest stop</v>
      </c>
      <c r="D90" s="209" t="str">
        <v>h</v>
      </c>
      <c r="E90" s="220">
        <v>0.75</v>
      </c>
      <c r="F90" s="220">
        <v>0.75</v>
      </c>
      <c r="G90" s="220">
        <v>0.75</v>
      </c>
      <c r="H90" s="220">
        <v>0.75</v>
      </c>
      <c r="I90" s="220">
        <v>0.75</v>
      </c>
      <c r="J90" s="220">
        <v>0.75</v>
      </c>
      <c r="K90" s="220">
        <v>0.75</v>
      </c>
    </row>
    <row r="91" spans="1:11" x14ac:dyDescent="0.35">
      <c r="A91" s="209" t="str">
        <v>HGV60</v>
      </c>
      <c r="B91" s="209" t="str">
        <v>Common</v>
      </c>
      <c r="C91" s="209" t="str">
        <v>Drive session</v>
      </c>
      <c r="D91" s="209" t="str">
        <v>h</v>
      </c>
      <c r="E91" s="224">
        <v>4.5</v>
      </c>
      <c r="F91" s="224">
        <v>4.5</v>
      </c>
      <c r="G91" s="224">
        <v>4.5</v>
      </c>
      <c r="H91" s="224">
        <v>4.5</v>
      </c>
      <c r="I91" s="224">
        <v>4.5</v>
      </c>
      <c r="J91" s="224">
        <v>4.5</v>
      </c>
      <c r="K91" s="224">
        <v>4.5</v>
      </c>
    </row>
    <row r="92" spans="1:11" x14ac:dyDescent="0.35">
      <c r="A92" s="209" t="str">
        <v>HGV60</v>
      </c>
      <c r="B92" s="209" t="str">
        <v>Common</v>
      </c>
      <c r="C92" s="209" t="str">
        <v>Driver cost</v>
      </c>
      <c r="D92" s="209" t="str">
        <v>euro per h</v>
      </c>
      <c r="E92" s="216">
        <v>33.6</v>
      </c>
      <c r="F92" s="216">
        <v>33.6</v>
      </c>
      <c r="G92" s="216">
        <v>33.6</v>
      </c>
      <c r="H92" s="216">
        <v>33.6</v>
      </c>
      <c r="I92" s="216">
        <v>33.6</v>
      </c>
      <c r="J92" s="216">
        <v>33.6</v>
      </c>
      <c r="K92" s="216">
        <v>33.6</v>
      </c>
    </row>
    <row r="93" spans="1:11" x14ac:dyDescent="0.35">
      <c r="A93" s="209" t="str">
        <v>HGV60</v>
      </c>
      <c r="B93" s="209" t="str">
        <v>ICEV</v>
      </c>
      <c r="C93" s="209" t="str">
        <v>Chassis weight</v>
      </c>
      <c r="D93" s="209" t="str">
        <v>kg</v>
      </c>
      <c r="E93" s="216">
        <v>23000</v>
      </c>
      <c r="F93" s="216">
        <v>23000</v>
      </c>
      <c r="G93" s="216">
        <v>23000</v>
      </c>
      <c r="H93" s="216">
        <v>23000</v>
      </c>
      <c r="I93" s="216">
        <v>23000</v>
      </c>
      <c r="J93" s="216">
        <v>23000</v>
      </c>
      <c r="K93" s="216">
        <v>23000</v>
      </c>
    </row>
    <row r="94" spans="1:11" x14ac:dyDescent="0.35">
      <c r="A94" s="209" t="str">
        <v>HGV60</v>
      </c>
      <c r="B94" s="209" t="str">
        <v>ICEV</v>
      </c>
      <c r="C94" s="209" t="str">
        <v>Chassis cost, 2020</v>
      </c>
      <c r="D94" s="209" t="str">
        <v>euro</v>
      </c>
      <c r="E94" s="220">
        <v>259200</v>
      </c>
      <c r="F94" s="220">
        <v>259200</v>
      </c>
      <c r="G94" s="220">
        <v>259200</v>
      </c>
      <c r="H94" s="220">
        <v>259200</v>
      </c>
      <c r="I94" s="220">
        <v>259200</v>
      </c>
      <c r="J94" s="220">
        <v>259200</v>
      </c>
      <c r="K94" s="220">
        <v>259200</v>
      </c>
    </row>
    <row r="95" spans="1:11" x14ac:dyDescent="0.35">
      <c r="A95" s="209" t="str">
        <v>HGV60</v>
      </c>
      <c r="B95" s="209" t="str">
        <v>ICEV</v>
      </c>
      <c r="C95" s="209" t="str">
        <v>Lifetime</v>
      </c>
      <c r="D95" s="209" t="str">
        <v>years</v>
      </c>
      <c r="E95" s="211">
        <v>10</v>
      </c>
      <c r="F95" s="211">
        <v>10</v>
      </c>
      <c r="G95" s="211">
        <v>10</v>
      </c>
      <c r="H95" s="211">
        <v>10</v>
      </c>
      <c r="I95" s="211">
        <v>10</v>
      </c>
      <c r="J95" s="211">
        <v>10</v>
      </c>
      <c r="K95" s="211">
        <v>10</v>
      </c>
    </row>
    <row r="96" spans="1:11" x14ac:dyDescent="0.35">
      <c r="A96" s="209" t="str">
        <v>HGV60</v>
      </c>
      <c r="B96" s="209" t="str">
        <v>ICEV</v>
      </c>
      <c r="C96" s="209" t="str">
        <v>Maintenance cost</v>
      </c>
      <c r="D96" s="209" t="str">
        <v>euro per km</v>
      </c>
      <c r="E96" s="220">
        <v>9.9840000000000012E-2</v>
      </c>
      <c r="F96" s="220">
        <v>9.9840000000000012E-2</v>
      </c>
      <c r="G96" s="220">
        <v>9.9840000000000012E-2</v>
      </c>
      <c r="H96" s="220">
        <v>9.9840000000000012E-2</v>
      </c>
      <c r="I96" s="220">
        <v>9.9840000000000012E-2</v>
      </c>
      <c r="J96" s="220">
        <v>9.9840000000000012E-2</v>
      </c>
      <c r="K96" s="220">
        <v>9.9840000000000012E-2</v>
      </c>
    </row>
    <row r="97" spans="1:11" x14ac:dyDescent="0.35">
      <c r="A97" s="209" t="str">
        <v>HGV60</v>
      </c>
      <c r="B97" s="209" t="str">
        <v>ICEV</v>
      </c>
      <c r="C97" s="209" t="str">
        <v>Residual value at end of life</v>
      </c>
      <c r="D97" s="209" t="str">
        <v>ratio</v>
      </c>
      <c r="E97" s="211">
        <v>0.09</v>
      </c>
      <c r="F97" s="211">
        <v>0.09</v>
      </c>
      <c r="G97" s="211">
        <v>0.09</v>
      </c>
      <c r="H97" s="211">
        <v>0.09</v>
      </c>
      <c r="I97" s="211">
        <v>0.09</v>
      </c>
      <c r="J97" s="211">
        <v>0.09</v>
      </c>
      <c r="K97" s="211">
        <v>0.09</v>
      </c>
    </row>
    <row r="98" spans="1:11" x14ac:dyDescent="0.35">
      <c r="A98" s="209" t="str">
        <v>HGV60</v>
      </c>
      <c r="B98" s="209" t="str">
        <v>ICEV</v>
      </c>
      <c r="C98" s="209" t="str">
        <v>Fuel consumption</v>
      </c>
      <c r="D98" s="209" t="str">
        <v>liter per km</v>
      </c>
      <c r="E98" s="223">
        <v>0.35</v>
      </c>
      <c r="F98" s="223">
        <v>0.34133706359265625</v>
      </c>
      <c r="G98" s="223">
        <v>0.33288854566302017</v>
      </c>
      <c r="H98" s="223">
        <v>0.3246491390864148</v>
      </c>
      <c r="I98" s="223">
        <v>0.31661366809611619</v>
      </c>
      <c r="J98" s="223">
        <v>0.30877708503208051</v>
      </c>
      <c r="K98" s="223">
        <v>0.30113446717014369</v>
      </c>
    </row>
    <row r="99" spans="1:11" x14ac:dyDescent="0.35">
      <c r="A99" s="209" t="str">
        <v>HGV60</v>
      </c>
      <c r="B99" s="209" t="str">
        <v>BEV</v>
      </c>
      <c r="C99" s="209" t="str">
        <v>Maintenance cost</v>
      </c>
      <c r="D99" s="209" t="str">
        <v>euro per km</v>
      </c>
      <c r="E99" s="220">
        <v>3.9936000000000006E-2</v>
      </c>
      <c r="F99" s="220">
        <v>3.9936000000000006E-2</v>
      </c>
      <c r="G99" s="220">
        <v>3.9936000000000006E-2</v>
      </c>
      <c r="H99" s="220">
        <v>3.9936000000000006E-2</v>
      </c>
      <c r="I99" s="220">
        <v>3.9936000000000006E-2</v>
      </c>
      <c r="J99" s="220">
        <v>3.9936000000000006E-2</v>
      </c>
      <c r="K99" s="220">
        <v>3.9936000000000006E-2</v>
      </c>
    </row>
    <row r="100" spans="1:11" x14ac:dyDescent="0.35">
      <c r="A100" s="209" t="str">
        <v>HGV60</v>
      </c>
      <c r="B100" s="209" t="str">
        <v>BEV</v>
      </c>
      <c r="C100" s="209" t="str">
        <v>Residual value at end of life</v>
      </c>
      <c r="D100" s="209" t="str">
        <v>ratio</v>
      </c>
      <c r="E100" s="211">
        <v>0.09</v>
      </c>
      <c r="F100" s="211">
        <v>0.09</v>
      </c>
      <c r="G100" s="211">
        <v>0.09</v>
      </c>
      <c r="H100" s="211">
        <v>0.09</v>
      </c>
      <c r="I100" s="211">
        <v>0.09</v>
      </c>
      <c r="J100" s="211">
        <v>0.09</v>
      </c>
      <c r="K100" s="211">
        <v>0.09</v>
      </c>
    </row>
    <row r="101" spans="1:11" x14ac:dyDescent="0.35">
      <c r="A101" s="209" t="str">
        <v>HGV60</v>
      </c>
      <c r="B101" s="209" t="str">
        <v>BEV</v>
      </c>
      <c r="C101" s="209" t="str">
        <v>Energy consumption</v>
      </c>
      <c r="D101" s="209" t="str">
        <v>kWh per km</v>
      </c>
      <c r="E101" s="224">
        <v>1.4573061176470585</v>
      </c>
      <c r="F101" s="224">
        <v>1.4141084259707974</v>
      </c>
      <c r="G101" s="224">
        <v>1.3721912069032494</v>
      </c>
      <c r="H101" s="224">
        <v>1.3315165044787591</v>
      </c>
      <c r="I101" s="224">
        <v>1.2920474878282322</v>
      </c>
      <c r="J101" s="224">
        <v>1.2537484178288505</v>
      </c>
      <c r="K101" s="224">
        <v>1.2165846147423616</v>
      </c>
    </row>
    <row r="102" spans="1:11" x14ac:dyDescent="0.35">
      <c r="A102" s="209" t="str">
        <v>HGV60</v>
      </c>
      <c r="B102" s="209" t="str">
        <v>BEV</v>
      </c>
      <c r="C102" s="209" t="str">
        <v>Min range buffer</v>
      </c>
      <c r="D102" s="209" t="str">
        <v>km</v>
      </c>
      <c r="E102" s="224">
        <v>50</v>
      </c>
      <c r="F102" s="224">
        <v>50</v>
      </c>
      <c r="G102" s="224">
        <v>50</v>
      </c>
      <c r="H102" s="224">
        <v>50</v>
      </c>
      <c r="I102" s="224">
        <v>50</v>
      </c>
      <c r="J102" s="224">
        <v>50</v>
      </c>
      <c r="K102" s="224">
        <v>50</v>
      </c>
    </row>
    <row r="103" spans="1:11" x14ac:dyDescent="0.35">
      <c r="A103" s="209" t="str">
        <v>HGV60</v>
      </c>
      <c r="B103" s="209" t="str">
        <v>BEV</v>
      </c>
      <c r="C103" s="209" t="str">
        <v>Lifetime</v>
      </c>
      <c r="D103" s="209" t="str">
        <v>years</v>
      </c>
      <c r="E103" s="216">
        <v>10</v>
      </c>
      <c r="F103" s="216">
        <v>11.666666666666666</v>
      </c>
      <c r="G103" s="216">
        <v>13.333333333333334</v>
      </c>
      <c r="H103" s="216">
        <v>15</v>
      </c>
      <c r="I103" s="216">
        <v>15</v>
      </c>
      <c r="J103" s="216">
        <v>15</v>
      </c>
      <c r="K103" s="216">
        <v>15</v>
      </c>
    </row>
    <row r="104" spans="1:11" x14ac:dyDescent="0.35">
      <c r="A104" s="209" t="str">
        <v>HGV60</v>
      </c>
      <c r="B104" s="209" t="str">
        <v>ICEV</v>
      </c>
      <c r="C104" s="209" t="str">
        <v>Chassis cost</v>
      </c>
      <c r="D104" s="209" t="str">
        <v>euro</v>
      </c>
      <c r="E104" s="216">
        <v>259200</v>
      </c>
      <c r="F104" s="216">
        <v>262736.7838640855</v>
      </c>
      <c r="G104" s="216">
        <v>266453.97925027087</v>
      </c>
      <c r="H104" s="216">
        <v>270360.78895933705</v>
      </c>
      <c r="I104" s="216">
        <v>274466.88522739388</v>
      </c>
      <c r="J104" s="216">
        <v>278782.43367179972</v>
      </c>
      <c r="K104" s="216">
        <v>283318.11845856369</v>
      </c>
    </row>
    <row r="105" spans="1:11" x14ac:dyDescent="0.35">
      <c r="A105" s="209" t="str">
        <v>HGV60</v>
      </c>
      <c r="B105" s="209" t="str">
        <v>BEV</v>
      </c>
      <c r="C105" s="209" t="str">
        <v>Chassis weight, excl battery</v>
      </c>
      <c r="D105" s="209" t="str">
        <v>kg</v>
      </c>
      <c r="E105" s="216">
        <v>17780</v>
      </c>
      <c r="F105" s="216">
        <v>17780</v>
      </c>
      <c r="G105" s="216">
        <v>17780</v>
      </c>
      <c r="H105" s="216">
        <v>17780</v>
      </c>
      <c r="I105" s="216">
        <v>17780</v>
      </c>
      <c r="J105" s="216">
        <v>17780</v>
      </c>
      <c r="K105" s="216">
        <v>17780</v>
      </c>
    </row>
    <row r="106" spans="1:11" x14ac:dyDescent="0.35">
      <c r="A106" s="209" t="str">
        <v>HGV60</v>
      </c>
      <c r="B106" s="209" t="str">
        <v>BEV</v>
      </c>
      <c r="C106" s="209" t="str">
        <v>Chassis cost, excl battery</v>
      </c>
      <c r="D106" s="209" t="str">
        <v>euro</v>
      </c>
      <c r="E106" s="214">
        <v>215794.56</v>
      </c>
      <c r="F106" s="214">
        <v>213303.2646927053</v>
      </c>
      <c r="G106" s="214">
        <v>211051.33105347131</v>
      </c>
      <c r="H106" s="214">
        <v>209015.76140395424</v>
      </c>
      <c r="I106" s="214">
        <v>207175.76766442088</v>
      </c>
      <c r="J106" s="214">
        <v>205512.55905727489</v>
      </c>
      <c r="K106" s="214">
        <v>204009.15020785888</v>
      </c>
    </row>
    <row r="107" spans="1:11" x14ac:dyDescent="0.35">
      <c r="A107" s="209" t="str">
        <v>HGV60</v>
      </c>
      <c r="B107" s="209" t="str">
        <v>BEV</v>
      </c>
      <c r="C107" s="209" t="str">
        <v>Min net battery capacity</v>
      </c>
      <c r="D107" s="209" t="str">
        <v>kWh</v>
      </c>
      <c r="E107" s="214">
        <v>216.66666666666669</v>
      </c>
      <c r="F107" s="214">
        <v>226.02995435882167</v>
      </c>
      <c r="G107" s="214">
        <v>205.48410135118033</v>
      </c>
      <c r="H107" s="214">
        <v>176.99056023985628</v>
      </c>
      <c r="I107" s="214">
        <v>148.80116058437957</v>
      </c>
      <c r="J107" s="214">
        <v>123.67132074310364</v>
      </c>
      <c r="K107" s="214">
        <v>102.21085008598016</v>
      </c>
    </row>
    <row r="109" spans="1:11" x14ac:dyDescent="0.35">
      <c r="A109" s="208" t="str" cm="1">
        <f t="array" ref="A109:K138">vehicles!A83:K112</f>
        <v>group</v>
      </c>
      <c r="B109" s="208" t="str">
        <v>subgroup</v>
      </c>
      <c r="C109" s="208" t="str">
        <v>variable</v>
      </c>
      <c r="D109" s="208" t="str">
        <v>unit</v>
      </c>
      <c r="E109" s="208">
        <v>2020</v>
      </c>
      <c r="F109" s="208">
        <v>2025</v>
      </c>
      <c r="G109" s="208">
        <v>2030</v>
      </c>
      <c r="H109" s="208">
        <v>2035</v>
      </c>
      <c r="I109" s="208">
        <v>2040</v>
      </c>
      <c r="J109" s="208">
        <v>2045</v>
      </c>
      <c r="K109" s="208">
        <v>2050</v>
      </c>
    </row>
    <row r="110" spans="1:11" x14ac:dyDescent="0.35">
      <c r="A110" s="209" t="str">
        <v>HGV40</v>
      </c>
      <c r="B110" s="209" t="str">
        <v>Common</v>
      </c>
      <c r="C110" s="209" t="str">
        <v>Annual distance</v>
      </c>
      <c r="D110" s="209" t="str">
        <v>km</v>
      </c>
      <c r="E110" s="216">
        <v>115000</v>
      </c>
      <c r="F110" s="216">
        <v>115000</v>
      </c>
      <c r="G110" s="216">
        <v>115000</v>
      </c>
      <c r="H110" s="216">
        <v>115000</v>
      </c>
      <c r="I110" s="216">
        <v>115000</v>
      </c>
      <c r="J110" s="216">
        <v>115000</v>
      </c>
      <c r="K110" s="216">
        <v>115000</v>
      </c>
    </row>
    <row r="111" spans="1:11" x14ac:dyDescent="0.35">
      <c r="A111" s="209" t="str">
        <v>HGV40</v>
      </c>
      <c r="B111" s="209" t="str">
        <v>Common</v>
      </c>
      <c r="C111" s="209" t="str">
        <v>Utilization</v>
      </c>
      <c r="D111" s="209" t="str">
        <v>calendar days per year</v>
      </c>
      <c r="E111" s="220">
        <v>230</v>
      </c>
      <c r="F111" s="220">
        <v>230</v>
      </c>
      <c r="G111" s="220">
        <v>230</v>
      </c>
      <c r="H111" s="220">
        <v>230</v>
      </c>
      <c r="I111" s="220">
        <v>230</v>
      </c>
      <c r="J111" s="220">
        <v>230</v>
      </c>
      <c r="K111" s="220">
        <v>230</v>
      </c>
    </row>
    <row r="112" spans="1:11" x14ac:dyDescent="0.35">
      <c r="A112" s="209" t="str">
        <v>HGV40</v>
      </c>
      <c r="B112" s="209" t="str">
        <v>Common</v>
      </c>
      <c r="C112" s="209" t="str">
        <v>Max time in transit</v>
      </c>
      <c r="D112" s="209" t="str">
        <v>h per day</v>
      </c>
      <c r="E112" s="220">
        <v>11</v>
      </c>
      <c r="F112" s="220">
        <v>11</v>
      </c>
      <c r="G112" s="220">
        <v>11</v>
      </c>
      <c r="H112" s="220">
        <v>11</v>
      </c>
      <c r="I112" s="220">
        <v>11</v>
      </c>
      <c r="J112" s="220">
        <v>11</v>
      </c>
      <c r="K112" s="220">
        <v>11</v>
      </c>
    </row>
    <row r="113" spans="1:11" x14ac:dyDescent="0.35">
      <c r="A113" s="209" t="str">
        <v>HGV40</v>
      </c>
      <c r="B113" s="209" t="str">
        <v>Common</v>
      </c>
      <c r="C113" s="209" t="str">
        <v>Max time in use</v>
      </c>
      <c r="D113" s="209" t="str">
        <v>h per day</v>
      </c>
      <c r="E113" s="220">
        <v>15</v>
      </c>
      <c r="F113" s="220">
        <v>15</v>
      </c>
      <c r="G113" s="220">
        <v>15</v>
      </c>
      <c r="H113" s="220">
        <v>15</v>
      </c>
      <c r="I113" s="220">
        <v>15</v>
      </c>
      <c r="J113" s="220">
        <v>15</v>
      </c>
      <c r="K113" s="220">
        <v>15</v>
      </c>
    </row>
    <row r="114" spans="1:11" x14ac:dyDescent="0.35">
      <c r="A114" s="209" t="str">
        <v>HGV40</v>
      </c>
      <c r="B114" s="209" t="str">
        <v>Common</v>
      </c>
      <c r="C114" s="209" t="str">
        <v>Power, peak</v>
      </c>
      <c r="D114" s="209" t="str">
        <v>kW</v>
      </c>
      <c r="E114" s="211">
        <v>550</v>
      </c>
      <c r="F114" s="211">
        <v>550</v>
      </c>
      <c r="G114" s="211">
        <v>550</v>
      </c>
      <c r="H114" s="211">
        <v>550</v>
      </c>
      <c r="I114" s="211">
        <v>550</v>
      </c>
      <c r="J114" s="211">
        <v>550</v>
      </c>
      <c r="K114" s="211">
        <v>550</v>
      </c>
    </row>
    <row r="115" spans="1:11" x14ac:dyDescent="0.35">
      <c r="A115" s="209" t="str">
        <v>HGV40</v>
      </c>
      <c r="B115" s="209" t="str">
        <v>Common</v>
      </c>
      <c r="C115" s="209" t="str">
        <v>Tyres</v>
      </c>
      <c r="D115" s="209" t="str">
        <v>euro per km</v>
      </c>
      <c r="E115" s="223">
        <v>9.0240000000000001E-2</v>
      </c>
      <c r="F115" s="223">
        <v>9.0240000000000001E-2</v>
      </c>
      <c r="G115" s="223">
        <v>9.0240000000000001E-2</v>
      </c>
      <c r="H115" s="223">
        <v>9.0240000000000001E-2</v>
      </c>
      <c r="I115" s="223">
        <v>9.0240000000000001E-2</v>
      </c>
      <c r="J115" s="223">
        <v>9.0240000000000001E-2</v>
      </c>
      <c r="K115" s="223">
        <v>9.0240000000000001E-2</v>
      </c>
    </row>
    <row r="116" spans="1:11" x14ac:dyDescent="0.35">
      <c r="A116" s="209" t="str">
        <v>HGV40</v>
      </c>
      <c r="B116" s="209" t="str">
        <v>Common</v>
      </c>
      <c r="C116" s="209" t="str">
        <v>Cargo capacity value</v>
      </c>
      <c r="D116" s="209" t="str">
        <v>euro per ton-km</v>
      </c>
      <c r="E116" s="220">
        <v>2.5000000000000001E-2</v>
      </c>
      <c r="F116" s="220">
        <v>2.5000000000000001E-2</v>
      </c>
      <c r="G116" s="220">
        <v>2.5000000000000001E-2</v>
      </c>
      <c r="H116" s="220">
        <v>2.5000000000000001E-2</v>
      </c>
      <c r="I116" s="220">
        <v>2.5000000000000001E-2</v>
      </c>
      <c r="J116" s="220">
        <v>2.5000000000000001E-2</v>
      </c>
      <c r="K116" s="220">
        <v>2.5000000000000001E-2</v>
      </c>
    </row>
    <row r="117" spans="1:11" x14ac:dyDescent="0.35">
      <c r="A117" s="209" t="str">
        <v>HGV40</v>
      </c>
      <c r="B117" s="209" t="str">
        <v>Common</v>
      </c>
      <c r="C117" s="209" t="str">
        <v>Cargo capacity value</v>
      </c>
      <c r="D117" s="209" t="str">
        <v>euro per m3-km</v>
      </c>
      <c r="E117" s="240">
        <v>7.000000000000001E-3</v>
      </c>
      <c r="F117" s="240">
        <v>7.000000000000001E-3</v>
      </c>
      <c r="G117" s="240">
        <v>7.000000000000001E-3</v>
      </c>
      <c r="H117" s="240">
        <v>7.000000000000001E-3</v>
      </c>
      <c r="I117" s="240">
        <v>7.000000000000001E-3</v>
      </c>
      <c r="J117" s="240">
        <v>7.000000000000001E-3</v>
      </c>
      <c r="K117" s="240">
        <v>7.000000000000001E-3</v>
      </c>
    </row>
    <row r="118" spans="1:11" x14ac:dyDescent="0.35">
      <c r="A118" s="209" t="str">
        <v>HGV40</v>
      </c>
      <c r="B118" s="209" t="str">
        <v>Common</v>
      </c>
      <c r="C118" s="209" t="str">
        <v>Total weight limit</v>
      </c>
      <c r="D118" s="209" t="str">
        <v>kg</v>
      </c>
      <c r="E118" s="220">
        <v>40000</v>
      </c>
      <c r="F118" s="220">
        <v>40000</v>
      </c>
      <c r="G118" s="220">
        <v>40000</v>
      </c>
      <c r="H118" s="220">
        <v>40000</v>
      </c>
      <c r="I118" s="220">
        <v>40000</v>
      </c>
      <c r="J118" s="220">
        <v>40000</v>
      </c>
      <c r="K118" s="220">
        <v>40000</v>
      </c>
    </row>
    <row r="119" spans="1:11" x14ac:dyDescent="0.35">
      <c r="A119" s="209" t="str">
        <v>HGV40</v>
      </c>
      <c r="B119" s="209" t="str">
        <v>Common</v>
      </c>
      <c r="C119" s="209" t="str">
        <v>Depot stop</v>
      </c>
      <c r="D119" s="209" t="str">
        <v>h</v>
      </c>
      <c r="E119" s="224">
        <v>9</v>
      </c>
      <c r="F119" s="224">
        <v>9</v>
      </c>
      <c r="G119" s="224">
        <v>9</v>
      </c>
      <c r="H119" s="224">
        <v>9</v>
      </c>
      <c r="I119" s="224">
        <v>9</v>
      </c>
      <c r="J119" s="224">
        <v>9</v>
      </c>
      <c r="K119" s="224">
        <v>9</v>
      </c>
    </row>
    <row r="120" spans="1:11" x14ac:dyDescent="0.35">
      <c r="A120" s="209" t="str">
        <v>HGV40</v>
      </c>
      <c r="B120" s="209" t="str">
        <v>Common</v>
      </c>
      <c r="C120" s="209" t="str">
        <v>Destination stop</v>
      </c>
      <c r="D120" s="209" t="str">
        <v>h</v>
      </c>
      <c r="E120" s="224">
        <v>1</v>
      </c>
      <c r="F120" s="224">
        <v>1</v>
      </c>
      <c r="G120" s="224">
        <v>1</v>
      </c>
      <c r="H120" s="224">
        <v>1</v>
      </c>
      <c r="I120" s="224">
        <v>1</v>
      </c>
      <c r="J120" s="224">
        <v>1</v>
      </c>
      <c r="K120" s="224">
        <v>1</v>
      </c>
    </row>
    <row r="121" spans="1:11" x14ac:dyDescent="0.35">
      <c r="A121" s="209" t="str">
        <v>HGV40</v>
      </c>
      <c r="B121" s="209" t="str">
        <v>Common</v>
      </c>
      <c r="C121" s="209" t="str">
        <v>Rest stop</v>
      </c>
      <c r="D121" s="209" t="str">
        <v>h</v>
      </c>
      <c r="E121" s="220">
        <v>0.75</v>
      </c>
      <c r="F121" s="220">
        <v>0.75</v>
      </c>
      <c r="G121" s="220">
        <v>0.75</v>
      </c>
      <c r="H121" s="220">
        <v>0.75</v>
      </c>
      <c r="I121" s="220">
        <v>0.75</v>
      </c>
      <c r="J121" s="220">
        <v>0.75</v>
      </c>
      <c r="K121" s="220">
        <v>0.75</v>
      </c>
    </row>
    <row r="122" spans="1:11" x14ac:dyDescent="0.35">
      <c r="A122" s="209" t="str">
        <v>HGV40</v>
      </c>
      <c r="B122" s="209" t="str">
        <v>Common</v>
      </c>
      <c r="C122" s="209" t="str">
        <v>Drive session</v>
      </c>
      <c r="D122" s="209" t="str">
        <v>h</v>
      </c>
      <c r="E122" s="224">
        <v>4.5</v>
      </c>
      <c r="F122" s="224">
        <v>4.5</v>
      </c>
      <c r="G122" s="224">
        <v>4.5</v>
      </c>
      <c r="H122" s="224">
        <v>4.5</v>
      </c>
      <c r="I122" s="224">
        <v>4.5</v>
      </c>
      <c r="J122" s="224">
        <v>4.5</v>
      </c>
      <c r="K122" s="224">
        <v>4.5</v>
      </c>
    </row>
    <row r="123" spans="1:11" x14ac:dyDescent="0.35">
      <c r="A123" s="209" t="str">
        <v>HGV40</v>
      </c>
      <c r="B123" s="209" t="str">
        <v>Common</v>
      </c>
      <c r="C123" s="209" t="str">
        <v>Driver cost</v>
      </c>
      <c r="D123" s="209" t="str">
        <v>euro per h</v>
      </c>
      <c r="E123" s="216">
        <v>33.6</v>
      </c>
      <c r="F123" s="216">
        <v>33.6</v>
      </c>
      <c r="G123" s="216">
        <v>33.6</v>
      </c>
      <c r="H123" s="216">
        <v>33.6</v>
      </c>
      <c r="I123" s="216">
        <v>33.6</v>
      </c>
      <c r="J123" s="216">
        <v>33.6</v>
      </c>
      <c r="K123" s="216">
        <v>33.6</v>
      </c>
    </row>
    <row r="124" spans="1:11" x14ac:dyDescent="0.35">
      <c r="A124" s="209" t="str">
        <v>HGV40</v>
      </c>
      <c r="B124" s="209" t="str">
        <v>ICEV</v>
      </c>
      <c r="C124" s="209" t="str">
        <v>Chassis weight</v>
      </c>
      <c r="D124" s="209" t="str">
        <v>kg</v>
      </c>
      <c r="E124" s="216">
        <v>20000</v>
      </c>
      <c r="F124" s="216">
        <v>20000</v>
      </c>
      <c r="G124" s="216">
        <v>20000</v>
      </c>
      <c r="H124" s="216">
        <v>20000</v>
      </c>
      <c r="I124" s="216">
        <v>20000</v>
      </c>
      <c r="J124" s="216">
        <v>20000</v>
      </c>
      <c r="K124" s="216">
        <v>20000</v>
      </c>
    </row>
    <row r="125" spans="1:11" x14ac:dyDescent="0.35">
      <c r="A125" s="209" t="str">
        <v>HGV40</v>
      </c>
      <c r="B125" s="209" t="str">
        <v>ICEV</v>
      </c>
      <c r="C125" s="209" t="str">
        <v>Chassis cost, 2020</v>
      </c>
      <c r="D125" s="209" t="str">
        <v>euro</v>
      </c>
      <c r="E125" s="220">
        <v>235200</v>
      </c>
      <c r="F125" s="220">
        <v>235200</v>
      </c>
      <c r="G125" s="220">
        <v>235200</v>
      </c>
      <c r="H125" s="220">
        <v>235200</v>
      </c>
      <c r="I125" s="220">
        <v>235200</v>
      </c>
      <c r="J125" s="220">
        <v>235200</v>
      </c>
      <c r="K125" s="220">
        <v>235200</v>
      </c>
    </row>
    <row r="126" spans="1:11" x14ac:dyDescent="0.35">
      <c r="A126" s="209" t="str">
        <v>HGV40</v>
      </c>
      <c r="B126" s="209" t="str">
        <v>ICEV</v>
      </c>
      <c r="C126" s="209" t="str">
        <v>Lifetime</v>
      </c>
      <c r="D126" s="209" t="str">
        <v>years</v>
      </c>
      <c r="E126" s="211">
        <v>10</v>
      </c>
      <c r="F126" s="211">
        <v>10</v>
      </c>
      <c r="G126" s="211">
        <v>10</v>
      </c>
      <c r="H126" s="211">
        <v>10</v>
      </c>
      <c r="I126" s="211">
        <v>10</v>
      </c>
      <c r="J126" s="211">
        <v>10</v>
      </c>
      <c r="K126" s="211">
        <v>10</v>
      </c>
    </row>
    <row r="127" spans="1:11" x14ac:dyDescent="0.35">
      <c r="A127" s="209" t="str">
        <v>HGV40</v>
      </c>
      <c r="B127" s="209" t="str">
        <v>ICEV</v>
      </c>
      <c r="C127" s="209" t="str">
        <v>Maintenance cost</v>
      </c>
      <c r="D127" s="209" t="str">
        <v>euro per km</v>
      </c>
      <c r="E127" s="220">
        <v>0.11423999999999999</v>
      </c>
      <c r="F127" s="220">
        <v>0.11423999999999999</v>
      </c>
      <c r="G127" s="220">
        <v>0.11423999999999999</v>
      </c>
      <c r="H127" s="220">
        <v>0.11423999999999999</v>
      </c>
      <c r="I127" s="220">
        <v>0.11423999999999999</v>
      </c>
      <c r="J127" s="220">
        <v>0.11423999999999999</v>
      </c>
      <c r="K127" s="220">
        <v>0.11423999999999999</v>
      </c>
    </row>
    <row r="128" spans="1:11" x14ac:dyDescent="0.35">
      <c r="A128" s="209" t="str">
        <v>HGV40</v>
      </c>
      <c r="B128" s="209" t="str">
        <v>ICEV</v>
      </c>
      <c r="C128" s="209" t="str">
        <v>Residual value at end of life</v>
      </c>
      <c r="D128" s="209" t="str">
        <v>ratio</v>
      </c>
      <c r="E128" s="211">
        <v>0.09</v>
      </c>
      <c r="F128" s="211">
        <v>0.09</v>
      </c>
      <c r="G128" s="211">
        <v>0.09</v>
      </c>
      <c r="H128" s="211">
        <v>0.09</v>
      </c>
      <c r="I128" s="211">
        <v>0.09</v>
      </c>
      <c r="J128" s="211">
        <v>0.09</v>
      </c>
      <c r="K128" s="211">
        <v>0.09</v>
      </c>
    </row>
    <row r="129" spans="1:11" x14ac:dyDescent="0.35">
      <c r="A129" s="209" t="str">
        <v>HGV40</v>
      </c>
      <c r="B129" s="209" t="str">
        <v>ICEV</v>
      </c>
      <c r="C129" s="209" t="str">
        <v>Fuel consumption</v>
      </c>
      <c r="D129" s="209" t="str">
        <v>liter per km</v>
      </c>
      <c r="E129" s="223">
        <v>0.27</v>
      </c>
      <c r="F129" s="223">
        <v>0.26331716334290628</v>
      </c>
      <c r="G129" s="223">
        <v>0.25679973522575844</v>
      </c>
      <c r="H129" s="223">
        <v>0.25044362158094857</v>
      </c>
      <c r="I129" s="223">
        <v>0.24424482967414682</v>
      </c>
      <c r="J129" s="223">
        <v>0.23819946559617644</v>
      </c>
      <c r="K129" s="223">
        <v>0.23230373181696803</v>
      </c>
    </row>
    <row r="130" spans="1:11" x14ac:dyDescent="0.35">
      <c r="A130" s="209" t="str">
        <v>HGV40</v>
      </c>
      <c r="B130" s="209" t="str">
        <v>BEV</v>
      </c>
      <c r="C130" s="209" t="str">
        <v>Maintenance cost</v>
      </c>
      <c r="D130" s="209" t="str">
        <v>euro per km</v>
      </c>
      <c r="E130" s="220">
        <v>4.5696000000000001E-2</v>
      </c>
      <c r="F130" s="220">
        <v>4.5696000000000001E-2</v>
      </c>
      <c r="G130" s="220">
        <v>4.5696000000000001E-2</v>
      </c>
      <c r="H130" s="220">
        <v>4.5696000000000001E-2</v>
      </c>
      <c r="I130" s="220">
        <v>4.5696000000000001E-2</v>
      </c>
      <c r="J130" s="220">
        <v>4.5696000000000001E-2</v>
      </c>
      <c r="K130" s="220">
        <v>4.5696000000000001E-2</v>
      </c>
    </row>
    <row r="131" spans="1:11" x14ac:dyDescent="0.35">
      <c r="A131" s="209" t="str">
        <v>HGV40</v>
      </c>
      <c r="B131" s="209" t="str">
        <v>BEV</v>
      </c>
      <c r="C131" s="209" t="str">
        <v>Residual value at end of life</v>
      </c>
      <c r="D131" s="209" t="str">
        <v>ratio</v>
      </c>
      <c r="E131" s="211">
        <v>0.09</v>
      </c>
      <c r="F131" s="211">
        <v>0.09</v>
      </c>
      <c r="G131" s="211">
        <v>0.09</v>
      </c>
      <c r="H131" s="211">
        <v>0.09</v>
      </c>
      <c r="I131" s="211">
        <v>0.09</v>
      </c>
      <c r="J131" s="211">
        <v>0.09</v>
      </c>
      <c r="K131" s="211">
        <v>0.09</v>
      </c>
    </row>
    <row r="132" spans="1:11" x14ac:dyDescent="0.35">
      <c r="A132" s="209" t="str">
        <v>HGV40</v>
      </c>
      <c r="B132" s="209" t="str">
        <v>BEV</v>
      </c>
      <c r="C132" s="209" t="str">
        <v>Energy consumption</v>
      </c>
      <c r="D132" s="209" t="str">
        <v>kWh per km</v>
      </c>
      <c r="E132" s="224">
        <v>1.1242075764705881</v>
      </c>
      <c r="F132" s="224">
        <v>1.0908836428917581</v>
      </c>
      <c r="G132" s="224">
        <v>1.0585475024682212</v>
      </c>
      <c r="H132" s="224">
        <v>1.0271698748836142</v>
      </c>
      <c r="I132" s="224">
        <v>0.99672234775320778</v>
      </c>
      <c r="J132" s="224">
        <v>0.96717735089654189</v>
      </c>
      <c r="K132" s="224">
        <v>0.93850813137267908</v>
      </c>
    </row>
    <row r="133" spans="1:11" x14ac:dyDescent="0.35">
      <c r="A133" s="209" t="str">
        <v>HGV40</v>
      </c>
      <c r="B133" s="209" t="str">
        <v>BEV</v>
      </c>
      <c r="C133" s="209" t="str">
        <v>Min range buffer</v>
      </c>
      <c r="D133" s="209" t="str">
        <v>km</v>
      </c>
      <c r="E133" s="224">
        <v>50</v>
      </c>
      <c r="F133" s="224">
        <v>50</v>
      </c>
      <c r="G133" s="224">
        <v>50</v>
      </c>
      <c r="H133" s="224">
        <v>50</v>
      </c>
      <c r="I133" s="224">
        <v>50</v>
      </c>
      <c r="J133" s="224">
        <v>50</v>
      </c>
      <c r="K133" s="224">
        <v>50</v>
      </c>
    </row>
    <row r="134" spans="1:11" x14ac:dyDescent="0.35">
      <c r="A134" s="209" t="str">
        <v>HGV40</v>
      </c>
      <c r="B134" s="209" t="str">
        <v>BEV</v>
      </c>
      <c r="C134" s="209" t="str">
        <v>Lifetime</v>
      </c>
      <c r="D134" s="209" t="str">
        <v>years</v>
      </c>
      <c r="E134" s="216">
        <v>10</v>
      </c>
      <c r="F134" s="216">
        <v>11.666666666666666</v>
      </c>
      <c r="G134" s="216">
        <v>13.333333333333334</v>
      </c>
      <c r="H134" s="216">
        <v>15</v>
      </c>
      <c r="I134" s="216">
        <v>15</v>
      </c>
      <c r="J134" s="216">
        <v>15</v>
      </c>
      <c r="K134" s="216">
        <v>15</v>
      </c>
    </row>
    <row r="135" spans="1:11" x14ac:dyDescent="0.35">
      <c r="A135" s="209" t="str">
        <v>HGV40</v>
      </c>
      <c r="B135" s="209" t="str">
        <v>ICEV</v>
      </c>
      <c r="C135" s="209" t="str">
        <v>Chassis cost</v>
      </c>
      <c r="D135" s="209" t="str">
        <v>euro</v>
      </c>
      <c r="E135" s="216">
        <v>235200</v>
      </c>
      <c r="F135" s="216">
        <v>237794.60783471845</v>
      </c>
      <c r="G135" s="216">
        <v>240521.56674507578</v>
      </c>
      <c r="H135" s="216">
        <v>243387.62796607104</v>
      </c>
      <c r="I135" s="216">
        <v>246399.88711353898</v>
      </c>
      <c r="J135" s="216">
        <v>249565.8017510334</v>
      </c>
      <c r="K135" s="216">
        <v>252893.20985279875</v>
      </c>
    </row>
    <row r="136" spans="1:11" x14ac:dyDescent="0.35">
      <c r="A136" s="209" t="str">
        <v>HGV40</v>
      </c>
      <c r="B136" s="209" t="str">
        <v>BEV</v>
      </c>
      <c r="C136" s="209" t="str">
        <v>Chassis weight, excl battery</v>
      </c>
      <c r="D136" s="209" t="str">
        <v>kg</v>
      </c>
      <c r="E136" s="216">
        <v>16172</v>
      </c>
      <c r="F136" s="216">
        <v>16172</v>
      </c>
      <c r="G136" s="216">
        <v>16172</v>
      </c>
      <c r="H136" s="216">
        <v>16172</v>
      </c>
      <c r="I136" s="216">
        <v>16172</v>
      </c>
      <c r="J136" s="216">
        <v>16172</v>
      </c>
      <c r="K136" s="216">
        <v>16172</v>
      </c>
    </row>
    <row r="137" spans="1:11" x14ac:dyDescent="0.35">
      <c r="A137" s="209" t="str">
        <v>HGV40</v>
      </c>
      <c r="B137" s="209" t="str">
        <v>BEV</v>
      </c>
      <c r="C137" s="209" t="str">
        <v>Chassis cost, excl battery</v>
      </c>
      <c r="D137" s="209" t="str">
        <v>euro</v>
      </c>
      <c r="E137" s="214">
        <v>204865.91999999998</v>
      </c>
      <c r="F137" s="214">
        <v>202893.3601539502</v>
      </c>
      <c r="G137" s="214">
        <v>201110.32228617318</v>
      </c>
      <c r="H137" s="214">
        <v>199498.59727600761</v>
      </c>
      <c r="I137" s="214">
        <v>198041.72552059629</v>
      </c>
      <c r="J137" s="214">
        <v>196724.82884260942</v>
      </c>
      <c r="K137" s="214">
        <v>195534.45854814028</v>
      </c>
    </row>
    <row r="138" spans="1:11" x14ac:dyDescent="0.35">
      <c r="A138" s="209" t="str">
        <v>HGV40</v>
      </c>
      <c r="B138" s="209" t="str">
        <v>BEV</v>
      </c>
      <c r="C138" s="209" t="str">
        <v>Min net battery capacity</v>
      </c>
      <c r="D138" s="209" t="str">
        <v>kWh</v>
      </c>
      <c r="E138" s="214">
        <v>158.88888888888891</v>
      </c>
      <c r="F138" s="214">
        <v>165.75529986313589</v>
      </c>
      <c r="G138" s="214">
        <v>150.68834099086558</v>
      </c>
      <c r="H138" s="214">
        <v>129.79307750922794</v>
      </c>
      <c r="I138" s="214">
        <v>109.12085109521168</v>
      </c>
      <c r="J138" s="214">
        <v>90.692301878275998</v>
      </c>
      <c r="K138" s="214">
        <v>74.954623396385458</v>
      </c>
    </row>
    <row r="140" spans="1:11" x14ac:dyDescent="0.35">
      <c r="A140" s="208" t="str" cm="1">
        <f t="array" ref="A140:K169">vehicles!A114:K143</f>
        <v>group</v>
      </c>
      <c r="B140" s="208" t="str">
        <v>subgroup</v>
      </c>
      <c r="C140" s="208" t="str">
        <v>variable</v>
      </c>
      <c r="D140" s="208" t="str">
        <v>unit</v>
      </c>
      <c r="E140" s="208">
        <v>2020</v>
      </c>
      <c r="F140" s="208">
        <v>2025</v>
      </c>
      <c r="G140" s="208">
        <v>2030</v>
      </c>
      <c r="H140" s="208">
        <v>2035</v>
      </c>
      <c r="I140" s="208">
        <v>2040</v>
      </c>
      <c r="J140" s="208">
        <v>2045</v>
      </c>
      <c r="K140" s="208">
        <v>2050</v>
      </c>
    </row>
    <row r="141" spans="1:11" x14ac:dyDescent="0.35">
      <c r="A141" s="209" t="str">
        <v>MGV24</v>
      </c>
      <c r="B141" s="209" t="str">
        <v>Common</v>
      </c>
      <c r="C141" s="209" t="str">
        <v>Annual distance</v>
      </c>
      <c r="D141" s="209" t="str">
        <v>km</v>
      </c>
      <c r="E141" s="216">
        <v>80000</v>
      </c>
      <c r="F141" s="216">
        <v>80000</v>
      </c>
      <c r="G141" s="216">
        <v>80000</v>
      </c>
      <c r="H141" s="216">
        <v>80000</v>
      </c>
      <c r="I141" s="216">
        <v>80000</v>
      </c>
      <c r="J141" s="216">
        <v>80000</v>
      </c>
      <c r="K141" s="216">
        <v>80000</v>
      </c>
    </row>
    <row r="142" spans="1:11" x14ac:dyDescent="0.35">
      <c r="A142" s="209" t="str">
        <v>MGV24</v>
      </c>
      <c r="B142" s="209" t="str">
        <v>Common</v>
      </c>
      <c r="C142" s="209" t="str">
        <v>Utilization</v>
      </c>
      <c r="D142" s="209" t="str">
        <v>calendar days per year</v>
      </c>
      <c r="E142" s="220">
        <v>230</v>
      </c>
      <c r="F142" s="220">
        <v>230</v>
      </c>
      <c r="G142" s="220">
        <v>230</v>
      </c>
      <c r="H142" s="220">
        <v>230</v>
      </c>
      <c r="I142" s="220">
        <v>230</v>
      </c>
      <c r="J142" s="220">
        <v>230</v>
      </c>
      <c r="K142" s="220">
        <v>230</v>
      </c>
    </row>
    <row r="143" spans="1:11" x14ac:dyDescent="0.35">
      <c r="A143" s="209" t="str">
        <v>MGV24</v>
      </c>
      <c r="B143" s="209" t="str">
        <v>Common</v>
      </c>
      <c r="C143" s="209" t="str">
        <v>Max time in transit</v>
      </c>
      <c r="D143" s="209" t="str">
        <v>h per day</v>
      </c>
      <c r="E143" s="220">
        <v>9</v>
      </c>
      <c r="F143" s="220">
        <v>9</v>
      </c>
      <c r="G143" s="220">
        <v>9</v>
      </c>
      <c r="H143" s="220">
        <v>9</v>
      </c>
      <c r="I143" s="220">
        <v>9</v>
      </c>
      <c r="J143" s="220">
        <v>9</v>
      </c>
      <c r="K143" s="220">
        <v>9</v>
      </c>
    </row>
    <row r="144" spans="1:11" x14ac:dyDescent="0.35">
      <c r="A144" s="209" t="str">
        <v>MGV24</v>
      </c>
      <c r="B144" s="209" t="str">
        <v>Common</v>
      </c>
      <c r="C144" s="209" t="str">
        <v>Max time in use</v>
      </c>
      <c r="D144" s="209" t="str">
        <v>h per day</v>
      </c>
      <c r="E144" s="220">
        <v>12</v>
      </c>
      <c r="F144" s="220">
        <v>12</v>
      </c>
      <c r="G144" s="220">
        <v>12</v>
      </c>
      <c r="H144" s="220">
        <v>12</v>
      </c>
      <c r="I144" s="220">
        <v>12</v>
      </c>
      <c r="J144" s="220">
        <v>12</v>
      </c>
      <c r="K144" s="220">
        <v>12</v>
      </c>
    </row>
    <row r="145" spans="1:11" x14ac:dyDescent="0.35">
      <c r="A145" s="209" t="str">
        <v>MGV24</v>
      </c>
      <c r="B145" s="209" t="str">
        <v>Common</v>
      </c>
      <c r="C145" s="209" t="str">
        <v>Power, peak</v>
      </c>
      <c r="D145" s="209" t="str">
        <v>kW</v>
      </c>
      <c r="E145" s="211">
        <v>300</v>
      </c>
      <c r="F145" s="211">
        <v>300</v>
      </c>
      <c r="G145" s="211">
        <v>300</v>
      </c>
      <c r="H145" s="211">
        <v>300</v>
      </c>
      <c r="I145" s="211">
        <v>300</v>
      </c>
      <c r="J145" s="211">
        <v>300</v>
      </c>
      <c r="K145" s="211">
        <v>300</v>
      </c>
    </row>
    <row r="146" spans="1:11" x14ac:dyDescent="0.35">
      <c r="A146" s="209" t="str">
        <v>MGV24</v>
      </c>
      <c r="B146" s="209" t="str">
        <v>Common</v>
      </c>
      <c r="C146" s="209" t="str">
        <v>Tyres</v>
      </c>
      <c r="D146" s="209" t="str">
        <v>euro per km</v>
      </c>
      <c r="E146" s="223">
        <v>6.1440000000000002E-2</v>
      </c>
      <c r="F146" s="223">
        <v>6.1440000000000002E-2</v>
      </c>
      <c r="G146" s="223">
        <v>6.1440000000000002E-2</v>
      </c>
      <c r="H146" s="223">
        <v>6.1440000000000002E-2</v>
      </c>
      <c r="I146" s="223">
        <v>6.1440000000000002E-2</v>
      </c>
      <c r="J146" s="223">
        <v>6.1440000000000002E-2</v>
      </c>
      <c r="K146" s="223">
        <v>6.1440000000000002E-2</v>
      </c>
    </row>
    <row r="147" spans="1:11" x14ac:dyDescent="0.35">
      <c r="A147" s="209" t="str">
        <v>MGV24</v>
      </c>
      <c r="B147" s="209" t="str">
        <v>Common</v>
      </c>
      <c r="C147" s="209" t="str">
        <v>Cargo capacity value</v>
      </c>
      <c r="D147" s="209" t="str">
        <v>euro per ton-km</v>
      </c>
      <c r="E147" s="220">
        <v>3.5000000000000003E-2</v>
      </c>
      <c r="F147" s="220">
        <v>3.5000000000000003E-2</v>
      </c>
      <c r="G147" s="220">
        <v>3.5000000000000003E-2</v>
      </c>
      <c r="H147" s="220">
        <v>3.5000000000000003E-2</v>
      </c>
      <c r="I147" s="220">
        <v>3.5000000000000003E-2</v>
      </c>
      <c r="J147" s="220">
        <v>3.5000000000000003E-2</v>
      </c>
      <c r="K147" s="220">
        <v>3.5000000000000003E-2</v>
      </c>
    </row>
    <row r="148" spans="1:11" x14ac:dyDescent="0.35">
      <c r="A148" s="209" t="str">
        <v>MGV24</v>
      </c>
      <c r="B148" s="209" t="str">
        <v>Common</v>
      </c>
      <c r="C148" s="209" t="str">
        <v>Cargo capacity value</v>
      </c>
      <c r="D148" s="209" t="str">
        <v>euro per m3-km</v>
      </c>
      <c r="E148" s="240">
        <v>9.8000000000000014E-3</v>
      </c>
      <c r="F148" s="240">
        <v>9.8000000000000014E-3</v>
      </c>
      <c r="G148" s="240">
        <v>9.8000000000000014E-3</v>
      </c>
      <c r="H148" s="240">
        <v>9.8000000000000014E-3</v>
      </c>
      <c r="I148" s="240">
        <v>9.8000000000000014E-3</v>
      </c>
      <c r="J148" s="240">
        <v>9.8000000000000014E-3</v>
      </c>
      <c r="K148" s="240">
        <v>9.8000000000000014E-3</v>
      </c>
    </row>
    <row r="149" spans="1:11" x14ac:dyDescent="0.35">
      <c r="A149" s="209" t="str">
        <v>MGV24</v>
      </c>
      <c r="B149" s="209" t="str">
        <v>Common</v>
      </c>
      <c r="C149" s="209" t="str">
        <v>Total weight limit</v>
      </c>
      <c r="D149" s="209" t="str">
        <v>kg</v>
      </c>
      <c r="E149" s="220">
        <v>24000</v>
      </c>
      <c r="F149" s="220">
        <v>24000</v>
      </c>
      <c r="G149" s="220">
        <v>24000</v>
      </c>
      <c r="H149" s="220">
        <v>24000</v>
      </c>
      <c r="I149" s="220">
        <v>24000</v>
      </c>
      <c r="J149" s="220">
        <v>24000</v>
      </c>
      <c r="K149" s="220">
        <v>24000</v>
      </c>
    </row>
    <row r="150" spans="1:11" x14ac:dyDescent="0.35">
      <c r="A150" s="209" t="str">
        <v>MGV24</v>
      </c>
      <c r="B150" s="209" t="str">
        <v>Common</v>
      </c>
      <c r="C150" s="209" t="str">
        <v>Depot stop</v>
      </c>
      <c r="D150" s="209" t="str">
        <v>h</v>
      </c>
      <c r="E150" s="224">
        <v>12</v>
      </c>
      <c r="F150" s="224">
        <v>12</v>
      </c>
      <c r="G150" s="224">
        <v>12</v>
      </c>
      <c r="H150" s="224">
        <v>12</v>
      </c>
      <c r="I150" s="224">
        <v>12</v>
      </c>
      <c r="J150" s="224">
        <v>12</v>
      </c>
      <c r="K150" s="224">
        <v>12</v>
      </c>
    </row>
    <row r="151" spans="1:11" x14ac:dyDescent="0.35">
      <c r="A151" s="209" t="str">
        <v>MGV24</v>
      </c>
      <c r="B151" s="209" t="str">
        <v>Common</v>
      </c>
      <c r="C151" s="209" t="str">
        <v>Destination stop</v>
      </c>
      <c r="D151" s="209" t="str">
        <v>h</v>
      </c>
      <c r="E151" s="224">
        <v>0.5</v>
      </c>
      <c r="F151" s="224">
        <v>0.5</v>
      </c>
      <c r="G151" s="224">
        <v>0.5</v>
      </c>
      <c r="H151" s="224">
        <v>0.5</v>
      </c>
      <c r="I151" s="224">
        <v>0.5</v>
      </c>
      <c r="J151" s="224">
        <v>0.5</v>
      </c>
      <c r="K151" s="224">
        <v>0.5</v>
      </c>
    </row>
    <row r="152" spans="1:11" x14ac:dyDescent="0.35">
      <c r="A152" s="209" t="str">
        <v>MGV24</v>
      </c>
      <c r="B152" s="209" t="str">
        <v>Common</v>
      </c>
      <c r="C152" s="209" t="str">
        <v>Rest stop</v>
      </c>
      <c r="D152" s="209" t="str">
        <v>h</v>
      </c>
      <c r="E152" s="220">
        <v>0.75</v>
      </c>
      <c r="F152" s="220">
        <v>0.75</v>
      </c>
      <c r="G152" s="220">
        <v>0.75</v>
      </c>
      <c r="H152" s="220">
        <v>0.75</v>
      </c>
      <c r="I152" s="220">
        <v>0.75</v>
      </c>
      <c r="J152" s="220">
        <v>0.75</v>
      </c>
      <c r="K152" s="220">
        <v>0.75</v>
      </c>
    </row>
    <row r="153" spans="1:11" x14ac:dyDescent="0.35">
      <c r="A153" s="209" t="str">
        <v>MGV24</v>
      </c>
      <c r="B153" s="209" t="str">
        <v>Common</v>
      </c>
      <c r="C153" s="209" t="str">
        <v>Drive session</v>
      </c>
      <c r="D153" s="209" t="str">
        <v>h</v>
      </c>
      <c r="E153" s="224">
        <v>4.5</v>
      </c>
      <c r="F153" s="224">
        <v>4.5</v>
      </c>
      <c r="G153" s="224">
        <v>4.5</v>
      </c>
      <c r="H153" s="224">
        <v>4.5</v>
      </c>
      <c r="I153" s="224">
        <v>4.5</v>
      </c>
      <c r="J153" s="224">
        <v>4.5</v>
      </c>
      <c r="K153" s="224">
        <v>4.5</v>
      </c>
    </row>
    <row r="154" spans="1:11" x14ac:dyDescent="0.35">
      <c r="A154" s="209" t="str">
        <v>MGV24</v>
      </c>
      <c r="B154" s="209" t="str">
        <v>Common</v>
      </c>
      <c r="C154" s="209" t="str">
        <v>Driver cost</v>
      </c>
      <c r="D154" s="209" t="str">
        <v>euro per h</v>
      </c>
      <c r="E154" s="216">
        <v>30</v>
      </c>
      <c r="F154" s="216">
        <v>30</v>
      </c>
      <c r="G154" s="216">
        <v>30</v>
      </c>
      <c r="H154" s="216">
        <v>30</v>
      </c>
      <c r="I154" s="216">
        <v>30</v>
      </c>
      <c r="J154" s="216">
        <v>30</v>
      </c>
      <c r="K154" s="216">
        <v>30</v>
      </c>
    </row>
    <row r="155" spans="1:11" x14ac:dyDescent="0.35">
      <c r="A155" s="209" t="str">
        <v>MGV24</v>
      </c>
      <c r="B155" s="209" t="str">
        <v>ICEV</v>
      </c>
      <c r="C155" s="209" t="str">
        <v>Chassis weight</v>
      </c>
      <c r="D155" s="209" t="str">
        <v>kg</v>
      </c>
      <c r="E155" s="216">
        <v>10000</v>
      </c>
      <c r="F155" s="216">
        <v>10000</v>
      </c>
      <c r="G155" s="216">
        <v>10000</v>
      </c>
      <c r="H155" s="216">
        <v>10000</v>
      </c>
      <c r="I155" s="216">
        <v>10000</v>
      </c>
      <c r="J155" s="216">
        <v>10000</v>
      </c>
      <c r="K155" s="216">
        <v>10000</v>
      </c>
    </row>
    <row r="156" spans="1:11" x14ac:dyDescent="0.35">
      <c r="A156" s="209" t="str">
        <v>MGV24</v>
      </c>
      <c r="B156" s="209" t="str">
        <v>ICEV</v>
      </c>
      <c r="C156" s="209" t="str">
        <v>Chassis cost, 2020</v>
      </c>
      <c r="D156" s="209" t="str">
        <v>euro</v>
      </c>
      <c r="E156" s="220">
        <v>148800</v>
      </c>
      <c r="F156" s="220">
        <v>148800</v>
      </c>
      <c r="G156" s="220">
        <v>148800</v>
      </c>
      <c r="H156" s="220">
        <v>148800</v>
      </c>
      <c r="I156" s="220">
        <v>148800</v>
      </c>
      <c r="J156" s="220">
        <v>148800</v>
      </c>
      <c r="K156" s="220">
        <v>148800</v>
      </c>
    </row>
    <row r="157" spans="1:11" x14ac:dyDescent="0.35">
      <c r="A157" s="209" t="str">
        <v>MGV24</v>
      </c>
      <c r="B157" s="209" t="str">
        <v>ICEV</v>
      </c>
      <c r="C157" s="209" t="str">
        <v>Lifetime</v>
      </c>
      <c r="D157" s="209" t="str">
        <v>years</v>
      </c>
      <c r="E157" s="211">
        <v>7</v>
      </c>
      <c r="F157" s="211">
        <v>7</v>
      </c>
      <c r="G157" s="211">
        <v>7</v>
      </c>
      <c r="H157" s="211">
        <v>7</v>
      </c>
      <c r="I157" s="211">
        <v>7</v>
      </c>
      <c r="J157" s="211">
        <v>7</v>
      </c>
      <c r="K157" s="211">
        <v>7</v>
      </c>
    </row>
    <row r="158" spans="1:11" x14ac:dyDescent="0.35">
      <c r="A158" s="209" t="str">
        <v>MGV24</v>
      </c>
      <c r="B158" s="209" t="str">
        <v>ICEV</v>
      </c>
      <c r="C158" s="209" t="str">
        <v>Maintenance cost</v>
      </c>
      <c r="D158" s="209" t="str">
        <v>euro per km</v>
      </c>
      <c r="E158" s="220">
        <v>0.12096</v>
      </c>
      <c r="F158" s="220">
        <v>0.12096</v>
      </c>
      <c r="G158" s="220">
        <v>0.12096</v>
      </c>
      <c r="H158" s="220">
        <v>0.12096</v>
      </c>
      <c r="I158" s="220">
        <v>0.12096</v>
      </c>
      <c r="J158" s="220">
        <v>0.12096</v>
      </c>
      <c r="K158" s="220">
        <v>0.12096</v>
      </c>
    </row>
    <row r="159" spans="1:11" x14ac:dyDescent="0.35">
      <c r="A159" s="209" t="str">
        <v>MGV24</v>
      </c>
      <c r="B159" s="209" t="str">
        <v>ICEV</v>
      </c>
      <c r="C159" s="209" t="str">
        <v>Residual value at end of life</v>
      </c>
      <c r="D159" s="209" t="str">
        <v>ratio</v>
      </c>
      <c r="E159" s="211">
        <v>0.09</v>
      </c>
      <c r="F159" s="211">
        <v>0.09</v>
      </c>
      <c r="G159" s="211">
        <v>0.09</v>
      </c>
      <c r="H159" s="211">
        <v>0.09</v>
      </c>
      <c r="I159" s="211">
        <v>0.09</v>
      </c>
      <c r="J159" s="211">
        <v>0.09</v>
      </c>
      <c r="K159" s="211">
        <v>0.09</v>
      </c>
    </row>
    <row r="160" spans="1:11" x14ac:dyDescent="0.35">
      <c r="A160" s="209" t="str">
        <v>MGV24</v>
      </c>
      <c r="B160" s="209" t="str">
        <v>ICEV</v>
      </c>
      <c r="C160" s="209" t="str">
        <v>Fuel consumption</v>
      </c>
      <c r="D160" s="209" t="str">
        <v>liter per km</v>
      </c>
      <c r="E160" s="223">
        <v>0.22</v>
      </c>
      <c r="F160" s="223">
        <v>0.21455472568681253</v>
      </c>
      <c r="G160" s="223">
        <v>0.20924422870246984</v>
      </c>
      <c r="H160" s="223">
        <v>0.20406517314003217</v>
      </c>
      <c r="I160" s="223">
        <v>0.19901430566041592</v>
      </c>
      <c r="J160" s="223">
        <v>0.19408845344873635</v>
      </c>
      <c r="K160" s="223">
        <v>0.18928452222123321</v>
      </c>
    </row>
    <row r="161" spans="1:11" x14ac:dyDescent="0.35">
      <c r="A161" s="209" t="str">
        <v>MGV24</v>
      </c>
      <c r="B161" s="209" t="str">
        <v>BEV</v>
      </c>
      <c r="C161" s="209" t="str">
        <v>Maintenance cost</v>
      </c>
      <c r="D161" s="209" t="str">
        <v>euro per km</v>
      </c>
      <c r="E161" s="220">
        <v>4.8384000000000003E-2</v>
      </c>
      <c r="F161" s="220">
        <v>4.8384000000000003E-2</v>
      </c>
      <c r="G161" s="220">
        <v>4.8384000000000003E-2</v>
      </c>
      <c r="H161" s="220">
        <v>4.8384000000000003E-2</v>
      </c>
      <c r="I161" s="220">
        <v>4.8384000000000003E-2</v>
      </c>
      <c r="J161" s="220">
        <v>4.8384000000000003E-2</v>
      </c>
      <c r="K161" s="220">
        <v>4.8384000000000003E-2</v>
      </c>
    </row>
    <row r="162" spans="1:11" x14ac:dyDescent="0.35">
      <c r="A162" s="209" t="str">
        <v>MGV24</v>
      </c>
      <c r="B162" s="209" t="str">
        <v>BEV</v>
      </c>
      <c r="C162" s="209" t="str">
        <v>Residual value at end of life</v>
      </c>
      <c r="D162" s="209" t="str">
        <v>ratio</v>
      </c>
      <c r="E162" s="211">
        <v>0.09</v>
      </c>
      <c r="F162" s="211">
        <v>0.09</v>
      </c>
      <c r="G162" s="211">
        <v>0.09</v>
      </c>
      <c r="H162" s="211">
        <v>0.09</v>
      </c>
      <c r="I162" s="211">
        <v>0.09</v>
      </c>
      <c r="J162" s="211">
        <v>0.09</v>
      </c>
      <c r="K162" s="211">
        <v>0.09</v>
      </c>
    </row>
    <row r="163" spans="1:11" x14ac:dyDescent="0.35">
      <c r="A163" s="209" t="str">
        <v>MGV24</v>
      </c>
      <c r="B163" s="209" t="str">
        <v>BEV</v>
      </c>
      <c r="C163" s="209" t="str">
        <v>Energy consumption</v>
      </c>
      <c r="D163" s="209" t="str">
        <v>kWh per km</v>
      </c>
      <c r="E163" s="224">
        <v>0.6412146917647058</v>
      </c>
      <c r="F163" s="224">
        <v>0.62220770742715092</v>
      </c>
      <c r="G163" s="224">
        <v>0.60376413103742976</v>
      </c>
      <c r="H163" s="224">
        <v>0.58586726197065409</v>
      </c>
      <c r="I163" s="224">
        <v>0.56850089464442222</v>
      </c>
      <c r="J163" s="224">
        <v>0.55164930384469424</v>
      </c>
      <c r="K163" s="224">
        <v>0.53529723048663913</v>
      </c>
    </row>
    <row r="164" spans="1:11" x14ac:dyDescent="0.35">
      <c r="A164" s="209" t="str">
        <v>MGV24</v>
      </c>
      <c r="B164" s="209" t="str">
        <v>BEV</v>
      </c>
      <c r="C164" s="209" t="str">
        <v>Min range buffer</v>
      </c>
      <c r="D164" s="209" t="str">
        <v>km</v>
      </c>
      <c r="E164" s="224">
        <v>30</v>
      </c>
      <c r="F164" s="224">
        <v>30</v>
      </c>
      <c r="G164" s="224">
        <v>30</v>
      </c>
      <c r="H164" s="224">
        <v>30</v>
      </c>
      <c r="I164" s="224">
        <v>30</v>
      </c>
      <c r="J164" s="224">
        <v>30</v>
      </c>
      <c r="K164" s="224">
        <v>30</v>
      </c>
    </row>
    <row r="165" spans="1:11" x14ac:dyDescent="0.35">
      <c r="A165" s="209" t="str">
        <v>MGV24</v>
      </c>
      <c r="B165" s="209" t="str">
        <v>BEV</v>
      </c>
      <c r="C165" s="209" t="str">
        <v>Lifetime</v>
      </c>
      <c r="D165" s="209" t="str">
        <v>years</v>
      </c>
      <c r="E165" s="216">
        <v>7</v>
      </c>
      <c r="F165" s="216">
        <v>8.6666666666666661</v>
      </c>
      <c r="G165" s="216">
        <v>10.333333333333334</v>
      </c>
      <c r="H165" s="216">
        <v>12</v>
      </c>
      <c r="I165" s="216">
        <v>12</v>
      </c>
      <c r="J165" s="216">
        <v>12</v>
      </c>
      <c r="K165" s="216">
        <v>12</v>
      </c>
    </row>
    <row r="166" spans="1:11" x14ac:dyDescent="0.35">
      <c r="A166" s="209" t="str">
        <v>MGV24</v>
      </c>
      <c r="B166" s="209" t="str">
        <v>ICEV</v>
      </c>
      <c r="C166" s="209" t="str">
        <v>Chassis cost</v>
      </c>
      <c r="D166" s="209" t="str">
        <v>euro</v>
      </c>
      <c r="E166" s="216">
        <v>148800</v>
      </c>
      <c r="F166" s="216">
        <v>150216.88779800967</v>
      </c>
      <c r="G166" s="216">
        <v>151706.0511135819</v>
      </c>
      <c r="H166" s="216">
        <v>153271.1767244885</v>
      </c>
      <c r="I166" s="216">
        <v>154916.13947122029</v>
      </c>
      <c r="J166" s="216">
        <v>156645.01185007551</v>
      </c>
      <c r="K166" s="216">
        <v>158462.07409559263</v>
      </c>
    </row>
    <row r="167" spans="1:11" x14ac:dyDescent="0.35">
      <c r="A167" s="209" t="str">
        <v>MGV24</v>
      </c>
      <c r="B167" s="209" t="str">
        <v>BEV</v>
      </c>
      <c r="C167" s="209" t="str">
        <v>Chassis weight, excl battery</v>
      </c>
      <c r="D167" s="209" t="str">
        <v>kg</v>
      </c>
      <c r="E167" s="216">
        <v>7912</v>
      </c>
      <c r="F167" s="216">
        <v>7912</v>
      </c>
      <c r="G167" s="216">
        <v>7912</v>
      </c>
      <c r="H167" s="216">
        <v>7912</v>
      </c>
      <c r="I167" s="216">
        <v>7912</v>
      </c>
      <c r="J167" s="216">
        <v>7912</v>
      </c>
      <c r="K167" s="216">
        <v>7912</v>
      </c>
    </row>
    <row r="168" spans="1:11" x14ac:dyDescent="0.35">
      <c r="A168" s="209" t="str">
        <v>MGV24</v>
      </c>
      <c r="B168" s="209" t="str">
        <v>BEV</v>
      </c>
      <c r="C168" s="209" t="str">
        <v>Chassis cost, excl battery</v>
      </c>
      <c r="D168" s="209" t="str">
        <v>euro</v>
      </c>
      <c r="E168" s="214">
        <v>134805.12</v>
      </c>
      <c r="F168" s="214">
        <v>133480.97948050639</v>
      </c>
      <c r="G168" s="214">
        <v>132284.06132705053</v>
      </c>
      <c r="H168" s="214">
        <v>131202.1421160743</v>
      </c>
      <c r="I168" s="214">
        <v>130224.17284081547</v>
      </c>
      <c r="J168" s="214">
        <v>129340.1660742776</v>
      </c>
      <c r="K168" s="214">
        <v>128541.0939734921</v>
      </c>
    </row>
    <row r="169" spans="1:11" x14ac:dyDescent="0.35">
      <c r="A169" s="209" t="str">
        <v>MGV24</v>
      </c>
      <c r="B169" s="209" t="str">
        <v>BEV</v>
      </c>
      <c r="C169" s="209" t="str">
        <v>Min net battery capacity</v>
      </c>
      <c r="D169" s="209" t="str">
        <v>kWh</v>
      </c>
      <c r="E169" s="214">
        <v>86.666666666666671</v>
      </c>
      <c r="F169" s="214">
        <v>90.411981743528671</v>
      </c>
      <c r="G169" s="214">
        <v>82.193640540472131</v>
      </c>
      <c r="H169" s="214">
        <v>70.79622409594252</v>
      </c>
      <c r="I169" s="214">
        <v>59.520464233751824</v>
      </c>
      <c r="J169" s="214">
        <v>49.468528297241456</v>
      </c>
      <c r="K169" s="214">
        <v>40.884340034392068</v>
      </c>
    </row>
    <row r="171" spans="1:11" x14ac:dyDescent="0.35">
      <c r="A171" s="208" t="str" cm="1">
        <f t="array" ref="A171:K200">vehicles!A145:K174</f>
        <v>group</v>
      </c>
      <c r="B171" s="208" t="str">
        <v>subgroup</v>
      </c>
      <c r="C171" s="208" t="str">
        <v>variable</v>
      </c>
      <c r="D171" s="208" t="str">
        <v>unit</v>
      </c>
      <c r="E171" s="208">
        <v>2020</v>
      </c>
      <c r="F171" s="208">
        <v>2025</v>
      </c>
      <c r="G171" s="208">
        <v>2030</v>
      </c>
      <c r="H171" s="208">
        <v>2035</v>
      </c>
      <c r="I171" s="208">
        <v>2040</v>
      </c>
      <c r="J171" s="208">
        <v>2045</v>
      </c>
      <c r="K171" s="208">
        <v>2050</v>
      </c>
    </row>
    <row r="172" spans="1:11" x14ac:dyDescent="0.35">
      <c r="A172" s="209" t="str">
        <v>MGV16</v>
      </c>
      <c r="B172" s="209" t="str">
        <v>Common</v>
      </c>
      <c r="C172" s="209" t="str">
        <v>Annual distance</v>
      </c>
      <c r="D172" s="209" t="str">
        <v>km</v>
      </c>
      <c r="E172" s="216">
        <v>42000</v>
      </c>
      <c r="F172" s="216">
        <v>42000</v>
      </c>
      <c r="G172" s="216">
        <v>42000</v>
      </c>
      <c r="H172" s="216">
        <v>42000</v>
      </c>
      <c r="I172" s="216">
        <v>42000</v>
      </c>
      <c r="J172" s="216">
        <v>42000</v>
      </c>
      <c r="K172" s="216">
        <v>42000</v>
      </c>
    </row>
    <row r="173" spans="1:11" x14ac:dyDescent="0.35">
      <c r="A173" s="209" t="str">
        <v>MGV16</v>
      </c>
      <c r="B173" s="209" t="str">
        <v>Common</v>
      </c>
      <c r="C173" s="209" t="str">
        <v>Utilization</v>
      </c>
      <c r="D173" s="209" t="str">
        <v>calendar days per year</v>
      </c>
      <c r="E173" s="220">
        <v>230</v>
      </c>
      <c r="F173" s="220">
        <v>230</v>
      </c>
      <c r="G173" s="220">
        <v>230</v>
      </c>
      <c r="H173" s="220">
        <v>230</v>
      </c>
      <c r="I173" s="220">
        <v>230</v>
      </c>
      <c r="J173" s="220">
        <v>230</v>
      </c>
      <c r="K173" s="220">
        <v>230</v>
      </c>
    </row>
    <row r="174" spans="1:11" x14ac:dyDescent="0.35">
      <c r="A174" s="209" t="str">
        <v>MGV16</v>
      </c>
      <c r="B174" s="209" t="str">
        <v>Common</v>
      </c>
      <c r="C174" s="209" t="str">
        <v>Max time in transit</v>
      </c>
      <c r="D174" s="209" t="str">
        <v>h per day</v>
      </c>
      <c r="E174" s="220">
        <v>9</v>
      </c>
      <c r="F174" s="220">
        <v>9</v>
      </c>
      <c r="G174" s="220">
        <v>9</v>
      </c>
      <c r="H174" s="220">
        <v>9</v>
      </c>
      <c r="I174" s="220">
        <v>9</v>
      </c>
      <c r="J174" s="220">
        <v>9</v>
      </c>
      <c r="K174" s="220">
        <v>9</v>
      </c>
    </row>
    <row r="175" spans="1:11" x14ac:dyDescent="0.35">
      <c r="A175" s="209" t="str">
        <v>MGV16</v>
      </c>
      <c r="B175" s="209" t="str">
        <v>Common</v>
      </c>
      <c r="C175" s="209" t="str">
        <v>Max time in use</v>
      </c>
      <c r="D175" s="209" t="str">
        <v>h per day</v>
      </c>
      <c r="E175" s="220">
        <v>12</v>
      </c>
      <c r="F175" s="220">
        <v>12</v>
      </c>
      <c r="G175" s="220">
        <v>12</v>
      </c>
      <c r="H175" s="220">
        <v>12</v>
      </c>
      <c r="I175" s="220">
        <v>12</v>
      </c>
      <c r="J175" s="220">
        <v>12</v>
      </c>
      <c r="K175" s="220">
        <v>12</v>
      </c>
    </row>
    <row r="176" spans="1:11" x14ac:dyDescent="0.35">
      <c r="A176" s="209" t="str">
        <v>MGV16</v>
      </c>
      <c r="B176" s="209" t="str">
        <v>Common</v>
      </c>
      <c r="C176" s="209" t="str">
        <v>Power, peak</v>
      </c>
      <c r="D176" s="209" t="str">
        <v>kW</v>
      </c>
      <c r="E176" s="211">
        <v>160</v>
      </c>
      <c r="F176" s="211">
        <v>160</v>
      </c>
      <c r="G176" s="211">
        <v>160</v>
      </c>
      <c r="H176" s="211">
        <v>160</v>
      </c>
      <c r="I176" s="211">
        <v>160</v>
      </c>
      <c r="J176" s="211">
        <v>160</v>
      </c>
      <c r="K176" s="211">
        <v>160</v>
      </c>
    </row>
    <row r="177" spans="1:11" x14ac:dyDescent="0.35">
      <c r="A177" s="209" t="str">
        <v>MGV16</v>
      </c>
      <c r="B177" s="209" t="str">
        <v>Common</v>
      </c>
      <c r="C177" s="209" t="str">
        <v>Tyres</v>
      </c>
      <c r="D177" s="209" t="str">
        <v>euro per km</v>
      </c>
      <c r="E177" s="223">
        <v>3.0720000000000001E-2</v>
      </c>
      <c r="F177" s="223">
        <v>3.0720000000000001E-2</v>
      </c>
      <c r="G177" s="223">
        <v>3.0720000000000001E-2</v>
      </c>
      <c r="H177" s="223">
        <v>3.0720000000000001E-2</v>
      </c>
      <c r="I177" s="223">
        <v>3.0720000000000001E-2</v>
      </c>
      <c r="J177" s="223">
        <v>3.0720000000000001E-2</v>
      </c>
      <c r="K177" s="223">
        <v>3.0720000000000001E-2</v>
      </c>
    </row>
    <row r="178" spans="1:11" x14ac:dyDescent="0.35">
      <c r="A178" s="209" t="str">
        <v>MGV16</v>
      </c>
      <c r="B178" s="209" t="str">
        <v>Common</v>
      </c>
      <c r="C178" s="209" t="str">
        <v>Cargo capacity value</v>
      </c>
      <c r="D178" s="209" t="str">
        <v>euro per ton-km</v>
      </c>
      <c r="E178" s="220">
        <v>0.05</v>
      </c>
      <c r="F178" s="220">
        <v>0.05</v>
      </c>
      <c r="G178" s="220">
        <v>0.05</v>
      </c>
      <c r="H178" s="220">
        <v>0.05</v>
      </c>
      <c r="I178" s="220">
        <v>0.05</v>
      </c>
      <c r="J178" s="220">
        <v>0.05</v>
      </c>
      <c r="K178" s="220">
        <v>0.05</v>
      </c>
    </row>
    <row r="179" spans="1:11" x14ac:dyDescent="0.35">
      <c r="A179" s="209" t="str">
        <v>MGV16</v>
      </c>
      <c r="B179" s="209" t="str">
        <v>Common</v>
      </c>
      <c r="C179" s="209" t="str">
        <v>Cargo capacity value</v>
      </c>
      <c r="D179" s="209" t="str">
        <v>euro per m3-km</v>
      </c>
      <c r="E179" s="240">
        <v>1.4000000000000002E-2</v>
      </c>
      <c r="F179" s="240">
        <v>1.4000000000000002E-2</v>
      </c>
      <c r="G179" s="240">
        <v>1.4000000000000002E-2</v>
      </c>
      <c r="H179" s="240">
        <v>1.4000000000000002E-2</v>
      </c>
      <c r="I179" s="240">
        <v>1.4000000000000002E-2</v>
      </c>
      <c r="J179" s="240">
        <v>1.4000000000000002E-2</v>
      </c>
      <c r="K179" s="240">
        <v>1.4000000000000002E-2</v>
      </c>
    </row>
    <row r="180" spans="1:11" x14ac:dyDescent="0.35">
      <c r="A180" s="209" t="str">
        <v>MGV16</v>
      </c>
      <c r="B180" s="209" t="str">
        <v>Common</v>
      </c>
      <c r="C180" s="209" t="str">
        <v>Total weight limit</v>
      </c>
      <c r="D180" s="209" t="str">
        <v>kg</v>
      </c>
      <c r="E180" s="220">
        <v>16000</v>
      </c>
      <c r="F180" s="220">
        <v>16000</v>
      </c>
      <c r="G180" s="220">
        <v>16000</v>
      </c>
      <c r="H180" s="220">
        <v>16000</v>
      </c>
      <c r="I180" s="220">
        <v>16000</v>
      </c>
      <c r="J180" s="220">
        <v>16000</v>
      </c>
      <c r="K180" s="220">
        <v>16000</v>
      </c>
    </row>
    <row r="181" spans="1:11" x14ac:dyDescent="0.35">
      <c r="A181" s="209" t="str">
        <v>MGV16</v>
      </c>
      <c r="B181" s="209" t="str">
        <v>Common</v>
      </c>
      <c r="C181" s="209" t="str">
        <v>Depot stop</v>
      </c>
      <c r="D181" s="209" t="str">
        <v>h</v>
      </c>
      <c r="E181" s="224">
        <v>12</v>
      </c>
      <c r="F181" s="224">
        <v>12</v>
      </c>
      <c r="G181" s="224">
        <v>12</v>
      </c>
      <c r="H181" s="224">
        <v>12</v>
      </c>
      <c r="I181" s="224">
        <v>12</v>
      </c>
      <c r="J181" s="224">
        <v>12</v>
      </c>
      <c r="K181" s="224">
        <v>12</v>
      </c>
    </row>
    <row r="182" spans="1:11" x14ac:dyDescent="0.35">
      <c r="A182" s="209" t="str">
        <v>MGV16</v>
      </c>
      <c r="B182" s="209" t="str">
        <v>Common</v>
      </c>
      <c r="C182" s="209" t="str">
        <v>Destination stop</v>
      </c>
      <c r="D182" s="209" t="str">
        <v>h</v>
      </c>
      <c r="E182" s="224">
        <v>0.2</v>
      </c>
      <c r="F182" s="224">
        <v>0.2</v>
      </c>
      <c r="G182" s="224">
        <v>0.2</v>
      </c>
      <c r="H182" s="224">
        <v>0.2</v>
      </c>
      <c r="I182" s="224">
        <v>0.2</v>
      </c>
      <c r="J182" s="224">
        <v>0.2</v>
      </c>
      <c r="K182" s="224">
        <v>0.2</v>
      </c>
    </row>
    <row r="183" spans="1:11" x14ac:dyDescent="0.35">
      <c r="A183" s="209" t="str">
        <v>MGV16</v>
      </c>
      <c r="B183" s="209" t="str">
        <v>Common</v>
      </c>
      <c r="C183" s="209" t="str">
        <v>Rest stop</v>
      </c>
      <c r="D183" s="209" t="str">
        <v>h</v>
      </c>
      <c r="E183" s="220">
        <v>0.75</v>
      </c>
      <c r="F183" s="220">
        <v>0.75</v>
      </c>
      <c r="G183" s="220">
        <v>0.75</v>
      </c>
      <c r="H183" s="220">
        <v>0.75</v>
      </c>
      <c r="I183" s="220">
        <v>0.75</v>
      </c>
      <c r="J183" s="220">
        <v>0.75</v>
      </c>
      <c r="K183" s="220">
        <v>0.75</v>
      </c>
    </row>
    <row r="184" spans="1:11" x14ac:dyDescent="0.35">
      <c r="A184" s="209" t="str">
        <v>MGV16</v>
      </c>
      <c r="B184" s="209" t="str">
        <v>Common</v>
      </c>
      <c r="C184" s="209" t="str">
        <v>Drive session</v>
      </c>
      <c r="D184" s="209" t="str">
        <v>h</v>
      </c>
      <c r="E184" s="224">
        <v>4.5</v>
      </c>
      <c r="F184" s="224">
        <v>4.5</v>
      </c>
      <c r="G184" s="224">
        <v>4.5</v>
      </c>
      <c r="H184" s="224">
        <v>4.5</v>
      </c>
      <c r="I184" s="224">
        <v>4.5</v>
      </c>
      <c r="J184" s="224">
        <v>4.5</v>
      </c>
      <c r="K184" s="224">
        <v>4.5</v>
      </c>
    </row>
    <row r="185" spans="1:11" x14ac:dyDescent="0.35">
      <c r="A185" s="209" t="str">
        <v>MGV16</v>
      </c>
      <c r="B185" s="209" t="str">
        <v>Common</v>
      </c>
      <c r="C185" s="209" t="str">
        <v>Driver cost</v>
      </c>
      <c r="D185" s="209" t="str">
        <v>euro per h</v>
      </c>
      <c r="E185" s="216">
        <v>30</v>
      </c>
      <c r="F185" s="216">
        <v>30</v>
      </c>
      <c r="G185" s="216">
        <v>30</v>
      </c>
      <c r="H185" s="216">
        <v>30</v>
      </c>
      <c r="I185" s="216">
        <v>30</v>
      </c>
      <c r="J185" s="216">
        <v>30</v>
      </c>
      <c r="K185" s="216">
        <v>30</v>
      </c>
    </row>
    <row r="186" spans="1:11" x14ac:dyDescent="0.35">
      <c r="A186" s="209" t="str">
        <v>MGV16</v>
      </c>
      <c r="B186" s="209" t="str">
        <v>ICEV</v>
      </c>
      <c r="C186" s="209" t="str">
        <v>Chassis weight</v>
      </c>
      <c r="D186" s="209" t="str">
        <v>kg</v>
      </c>
      <c r="E186" s="216">
        <v>5000</v>
      </c>
      <c r="F186" s="216">
        <v>5000</v>
      </c>
      <c r="G186" s="216">
        <v>5000</v>
      </c>
      <c r="H186" s="216">
        <v>5000</v>
      </c>
      <c r="I186" s="216">
        <v>5000</v>
      </c>
      <c r="J186" s="216">
        <v>5000</v>
      </c>
      <c r="K186" s="216">
        <v>5000</v>
      </c>
    </row>
    <row r="187" spans="1:11" x14ac:dyDescent="0.35">
      <c r="A187" s="209" t="str">
        <v>MGV16</v>
      </c>
      <c r="B187" s="209" t="str">
        <v>ICEV</v>
      </c>
      <c r="C187" s="209" t="str">
        <v>Chassis cost, 2020</v>
      </c>
      <c r="D187" s="209" t="str">
        <v>euro</v>
      </c>
      <c r="E187" s="220">
        <v>91200</v>
      </c>
      <c r="F187" s="220">
        <v>91200</v>
      </c>
      <c r="G187" s="220">
        <v>91200</v>
      </c>
      <c r="H187" s="220">
        <v>91200</v>
      </c>
      <c r="I187" s="220">
        <v>91200</v>
      </c>
      <c r="J187" s="220">
        <v>91200</v>
      </c>
      <c r="K187" s="220">
        <v>91200</v>
      </c>
    </row>
    <row r="188" spans="1:11" x14ac:dyDescent="0.35">
      <c r="A188" s="209" t="str">
        <v>MGV16</v>
      </c>
      <c r="B188" s="209" t="str">
        <v>ICEV</v>
      </c>
      <c r="C188" s="209" t="str">
        <v>Lifetime</v>
      </c>
      <c r="D188" s="209" t="str">
        <v>years</v>
      </c>
      <c r="E188" s="211">
        <v>7</v>
      </c>
      <c r="F188" s="211">
        <v>7</v>
      </c>
      <c r="G188" s="211">
        <v>7</v>
      </c>
      <c r="H188" s="211">
        <v>7</v>
      </c>
      <c r="I188" s="211">
        <v>7</v>
      </c>
      <c r="J188" s="211">
        <v>7</v>
      </c>
      <c r="K188" s="211">
        <v>7</v>
      </c>
    </row>
    <row r="189" spans="1:11" x14ac:dyDescent="0.35">
      <c r="A189" s="209" t="str">
        <v>MGV16</v>
      </c>
      <c r="B189" s="209" t="str">
        <v>ICEV</v>
      </c>
      <c r="C189" s="209" t="str">
        <v>Maintenance cost</v>
      </c>
      <c r="D189" s="209" t="str">
        <v>euro per km</v>
      </c>
      <c r="E189" s="220">
        <v>0.10176</v>
      </c>
      <c r="F189" s="220">
        <v>0.10176</v>
      </c>
      <c r="G189" s="220">
        <v>0.10176</v>
      </c>
      <c r="H189" s="220">
        <v>0.10176</v>
      </c>
      <c r="I189" s="220">
        <v>0.10176</v>
      </c>
      <c r="J189" s="220">
        <v>0.10176</v>
      </c>
      <c r="K189" s="220">
        <v>0.10176</v>
      </c>
    </row>
    <row r="190" spans="1:11" x14ac:dyDescent="0.35">
      <c r="A190" s="209" t="str">
        <v>MGV16</v>
      </c>
      <c r="B190" s="209" t="str">
        <v>ICEV</v>
      </c>
      <c r="C190" s="209" t="str">
        <v>Residual value at end of life</v>
      </c>
      <c r="D190" s="209" t="str">
        <v>ratio</v>
      </c>
      <c r="E190" s="211">
        <v>0.09</v>
      </c>
      <c r="F190" s="211">
        <v>0.09</v>
      </c>
      <c r="G190" s="211">
        <v>0.09</v>
      </c>
      <c r="H190" s="211">
        <v>0.09</v>
      </c>
      <c r="I190" s="211">
        <v>0.09</v>
      </c>
      <c r="J190" s="211">
        <v>0.09</v>
      </c>
      <c r="K190" s="211">
        <v>0.09</v>
      </c>
    </row>
    <row r="191" spans="1:11" x14ac:dyDescent="0.35">
      <c r="A191" s="209" t="str">
        <v>MGV16</v>
      </c>
      <c r="B191" s="209" t="str">
        <v>ICEV</v>
      </c>
      <c r="C191" s="209" t="str">
        <v>Fuel consumption</v>
      </c>
      <c r="D191" s="209" t="str">
        <v>liter per km</v>
      </c>
      <c r="E191" s="223">
        <v>0.16</v>
      </c>
      <c r="F191" s="223">
        <v>0.15603980049950003</v>
      </c>
      <c r="G191" s="223">
        <v>0.15217762087452352</v>
      </c>
      <c r="H191" s="223">
        <v>0.1484110350109325</v>
      </c>
      <c r="I191" s="223">
        <v>0.14473767684393885</v>
      </c>
      <c r="J191" s="223">
        <v>0.14115523887180825</v>
      </c>
      <c r="K191" s="223">
        <v>0.13766147070635143</v>
      </c>
    </row>
    <row r="192" spans="1:11" x14ac:dyDescent="0.35">
      <c r="A192" s="209" t="str">
        <v>MGV16</v>
      </c>
      <c r="B192" s="209" t="str">
        <v>BEV</v>
      </c>
      <c r="C192" s="209" t="str">
        <v>Maintenance cost</v>
      </c>
      <c r="D192" s="209" t="str">
        <v>euro per km</v>
      </c>
      <c r="E192" s="220">
        <v>4.0704000000000004E-2</v>
      </c>
      <c r="F192" s="220">
        <v>4.0704000000000004E-2</v>
      </c>
      <c r="G192" s="220">
        <v>4.0704000000000004E-2</v>
      </c>
      <c r="H192" s="220">
        <v>4.0704000000000004E-2</v>
      </c>
      <c r="I192" s="220">
        <v>4.0704000000000004E-2</v>
      </c>
      <c r="J192" s="220">
        <v>4.0704000000000004E-2</v>
      </c>
      <c r="K192" s="220">
        <v>4.0704000000000004E-2</v>
      </c>
    </row>
    <row r="193" spans="1:13" x14ac:dyDescent="0.35">
      <c r="A193" s="209" t="str">
        <v>MGV16</v>
      </c>
      <c r="B193" s="209" t="str">
        <v>BEV</v>
      </c>
      <c r="C193" s="209" t="str">
        <v>Residual value at end of life</v>
      </c>
      <c r="D193" s="209" t="str">
        <v>ratio</v>
      </c>
      <c r="E193" s="211">
        <v>0.09</v>
      </c>
      <c r="F193" s="211">
        <v>0.09</v>
      </c>
      <c r="G193" s="211">
        <v>0.09</v>
      </c>
      <c r="H193" s="211">
        <v>0.09</v>
      </c>
      <c r="I193" s="211">
        <v>0.09</v>
      </c>
      <c r="J193" s="211">
        <v>0.09</v>
      </c>
      <c r="K193" s="211">
        <v>0.09</v>
      </c>
    </row>
    <row r="194" spans="1:13" x14ac:dyDescent="0.35">
      <c r="A194" s="209" t="str">
        <v>MGV16</v>
      </c>
      <c r="B194" s="209" t="str">
        <v>BEV</v>
      </c>
      <c r="C194" s="209" t="str">
        <v>Energy consumption</v>
      </c>
      <c r="D194" s="209" t="str">
        <v>kWh per km</v>
      </c>
      <c r="E194" s="224">
        <v>0.46633795764705877</v>
      </c>
      <c r="F194" s="224">
        <v>0.45251469631065522</v>
      </c>
      <c r="G194" s="224">
        <v>0.43910118620903987</v>
      </c>
      <c r="H194" s="224">
        <v>0.42608528143320296</v>
      </c>
      <c r="I194" s="224">
        <v>0.41345519610503434</v>
      </c>
      <c r="J194" s="224">
        <v>0.40119949370523217</v>
      </c>
      <c r="K194" s="224">
        <v>0.38930707671755577</v>
      </c>
    </row>
    <row r="195" spans="1:13" x14ac:dyDescent="0.35">
      <c r="A195" s="209" t="str">
        <v>MGV16</v>
      </c>
      <c r="B195" s="209" t="str">
        <v>BEV</v>
      </c>
      <c r="C195" s="209" t="str">
        <v>Min range buffer</v>
      </c>
      <c r="D195" s="209" t="str">
        <v>km</v>
      </c>
      <c r="E195" s="224">
        <v>20</v>
      </c>
      <c r="F195" s="224">
        <v>20</v>
      </c>
      <c r="G195" s="224">
        <v>20</v>
      </c>
      <c r="H195" s="224">
        <v>20</v>
      </c>
      <c r="I195" s="224">
        <v>20</v>
      </c>
      <c r="J195" s="224">
        <v>20</v>
      </c>
      <c r="K195" s="224">
        <v>20</v>
      </c>
    </row>
    <row r="196" spans="1:13" x14ac:dyDescent="0.35">
      <c r="A196" s="209" t="str">
        <v>MGV16</v>
      </c>
      <c r="B196" s="209" t="str">
        <v>BEV</v>
      </c>
      <c r="C196" s="209" t="str">
        <v>Lifetime</v>
      </c>
      <c r="D196" s="209" t="str">
        <v>years</v>
      </c>
      <c r="E196" s="216">
        <v>7</v>
      </c>
      <c r="F196" s="216">
        <v>8.6666666666666661</v>
      </c>
      <c r="G196" s="216">
        <v>10.333333333333334</v>
      </c>
      <c r="H196" s="216">
        <v>12</v>
      </c>
      <c r="I196" s="216">
        <v>12</v>
      </c>
      <c r="J196" s="216">
        <v>12</v>
      </c>
      <c r="K196" s="216">
        <v>12</v>
      </c>
    </row>
    <row r="197" spans="1:13" x14ac:dyDescent="0.35">
      <c r="A197" s="209" t="str">
        <v>MGV16</v>
      </c>
      <c r="B197" s="209" t="str">
        <v>ICEV</v>
      </c>
      <c r="C197" s="209" t="str">
        <v>Chassis cost</v>
      </c>
      <c r="D197" s="209" t="str">
        <v>euro</v>
      </c>
      <c r="E197" s="216">
        <v>91200</v>
      </c>
      <c r="F197" s="216">
        <v>91957.364577452739</v>
      </c>
      <c r="G197" s="216">
        <v>92753.362359945299</v>
      </c>
      <c r="H197" s="216">
        <v>93589.964029202296</v>
      </c>
      <c r="I197" s="216">
        <v>94469.24079152185</v>
      </c>
      <c r="J197" s="216">
        <v>95393.369505539085</v>
      </c>
      <c r="K197" s="216">
        <v>96364.638071557187</v>
      </c>
    </row>
    <row r="198" spans="1:13" x14ac:dyDescent="0.35">
      <c r="A198" s="209" t="str">
        <v>MGV16</v>
      </c>
      <c r="B198" s="209" t="str">
        <v>BEV</v>
      </c>
      <c r="C198" s="209" t="str">
        <v>Chassis weight, excl battery</v>
      </c>
      <c r="D198" s="209" t="str">
        <v>kg</v>
      </c>
      <c r="E198" s="216">
        <v>3886.4</v>
      </c>
      <c r="F198" s="216">
        <v>3886.4</v>
      </c>
      <c r="G198" s="216">
        <v>3886.4</v>
      </c>
      <c r="H198" s="216">
        <v>3886.4</v>
      </c>
      <c r="I198" s="216">
        <v>3886.4</v>
      </c>
      <c r="J198" s="216">
        <v>3886.4</v>
      </c>
      <c r="K198" s="216">
        <v>3886.4</v>
      </c>
    </row>
    <row r="199" spans="1:13" x14ac:dyDescent="0.35">
      <c r="A199" s="209" t="str">
        <v>MGV16</v>
      </c>
      <c r="B199" s="209" t="str">
        <v>BEV</v>
      </c>
      <c r="C199" s="209" t="str">
        <v>Chassis cost, excl battery</v>
      </c>
      <c r="D199" s="209" t="str">
        <v>euro</v>
      </c>
      <c r="E199" s="214">
        <v>86355.072</v>
      </c>
      <c r="F199" s="214">
        <v>85394.046303377821</v>
      </c>
      <c r="G199" s="214">
        <v>84525.355189941809</v>
      </c>
      <c r="H199" s="214">
        <v>83740.127226511671</v>
      </c>
      <c r="I199" s="214">
        <v>83030.34334013825</v>
      </c>
      <c r="J199" s="214">
        <v>82388.754924011795</v>
      </c>
      <c r="K199" s="214">
        <v>81808.809811689105</v>
      </c>
    </row>
    <row r="200" spans="1:13" x14ac:dyDescent="0.35">
      <c r="A200" s="209" t="str">
        <v>MGV16</v>
      </c>
      <c r="B200" s="209" t="str">
        <v>BEV</v>
      </c>
      <c r="C200" s="209" t="str">
        <v>Min net battery capacity</v>
      </c>
      <c r="D200" s="209" t="str">
        <v>kWh</v>
      </c>
      <c r="E200" s="214">
        <v>46.222222222222229</v>
      </c>
      <c r="F200" s="214">
        <v>48.219723596548626</v>
      </c>
      <c r="G200" s="214">
        <v>43.836608288251803</v>
      </c>
      <c r="H200" s="214">
        <v>37.757986184502677</v>
      </c>
      <c r="I200" s="214">
        <v>31.744247591334307</v>
      </c>
      <c r="J200" s="214">
        <v>26.383215091862109</v>
      </c>
      <c r="K200" s="214">
        <v>21.804981351675767</v>
      </c>
    </row>
    <row r="202" spans="1:13" x14ac:dyDescent="0.35">
      <c r="A202" s="209" t="s">
        <v>192</v>
      </c>
    </row>
    <row r="203" spans="1:13" x14ac:dyDescent="0.35">
      <c r="A203" s="208" t="str" cm="1">
        <f t="array" ref="A203:M248">infra!A1:M46</f>
        <v>group</v>
      </c>
      <c r="B203" s="208" t="str">
        <v>subgroup</v>
      </c>
      <c r="C203" s="208" t="str">
        <v>variable</v>
      </c>
      <c r="D203" s="208" t="str">
        <v>unit</v>
      </c>
      <c r="E203" s="208">
        <v>2020</v>
      </c>
      <c r="F203" s="229">
        <v>2025</v>
      </c>
      <c r="G203" s="229">
        <v>2030</v>
      </c>
      <c r="H203" s="229">
        <v>2035</v>
      </c>
      <c r="I203" s="229">
        <v>2040</v>
      </c>
      <c r="J203" s="229">
        <v>2045</v>
      </c>
      <c r="K203" s="229">
        <v>2050</v>
      </c>
      <c r="L203" s="209" t="str">
        <v>Annual change</v>
      </c>
      <c r="M203" s="209" t="str">
        <v>Source</v>
      </c>
    </row>
    <row r="204" spans="1:13" x14ac:dyDescent="0.35">
      <c r="A204" s="209" t="str">
        <v>Infrastructure</v>
      </c>
      <c r="B204" s="209" t="str">
        <v>ERS</v>
      </c>
      <c r="C204" s="209" t="str">
        <v>base cost</v>
      </c>
      <c r="D204" s="209" t="str">
        <v>euro per km</v>
      </c>
      <c r="E204" s="215">
        <v>1500000</v>
      </c>
      <c r="F204" s="216">
        <v>1426485.07485</v>
      </c>
      <c r="G204" s="216">
        <v>1356573.1125132064</v>
      </c>
      <c r="H204" s="216">
        <v>1290087.5319619325</v>
      </c>
      <c r="I204" s="216">
        <v>1226860.406395846</v>
      </c>
      <c r="J204" s="216">
        <v>1166732.0390987196</v>
      </c>
      <c r="K204" s="216">
        <v>1109550.5600824202</v>
      </c>
      <c r="L204" s="212">
        <v>-0.01</v>
      </c>
      <c r="M204" s="209" t="str">
        <v>See comment</v>
      </c>
    </row>
    <row r="205" spans="1:13" x14ac:dyDescent="0.35">
      <c r="A205" s="209" t="str">
        <v>Infrastructure</v>
      </c>
      <c r="B205" s="209" t="str">
        <v>ERS</v>
      </c>
      <c r="C205" s="209" t="str">
        <v>power cost</v>
      </c>
      <c r="D205" s="209" t="str">
        <v>euro per kW-km</v>
      </c>
      <c r="E205" s="213">
        <v>700</v>
      </c>
      <c r="F205" s="214">
        <v>665.69303492999995</v>
      </c>
      <c r="G205" s="214">
        <v>633.06745250616302</v>
      </c>
      <c r="H205" s="214">
        <v>602.04084824890185</v>
      </c>
      <c r="I205" s="214">
        <v>572.53485631806143</v>
      </c>
      <c r="J205" s="214">
        <v>544.4749515794025</v>
      </c>
      <c r="K205" s="214">
        <v>517.79026137179608</v>
      </c>
      <c r="L205" s="212">
        <v>-0.01</v>
      </c>
      <c r="M205" s="209" t="str">
        <v>See comment</v>
      </c>
    </row>
    <row r="206" spans="1:13" x14ac:dyDescent="0.35">
      <c r="A206" s="209" t="str">
        <v>Infrastructure</v>
      </c>
      <c r="B206" s="209" t="str">
        <v>ERS</v>
      </c>
      <c r="C206" s="209" t="str">
        <v>maintenance cost</v>
      </c>
      <c r="D206" s="209" t="str">
        <v>ratio per year</v>
      </c>
      <c r="E206" s="209">
        <v>0.02</v>
      </c>
      <c r="F206" s="220">
        <v>0.02</v>
      </c>
      <c r="G206" s="220">
        <v>0.02</v>
      </c>
      <c r="H206" s="220">
        <v>0.02</v>
      </c>
      <c r="I206" s="220">
        <v>0.02</v>
      </c>
      <c r="J206" s="220">
        <v>0.02</v>
      </c>
      <c r="K206" s="220">
        <v>0.02</v>
      </c>
      <c r="L206" s="212">
        <v>0</v>
      </c>
      <c r="M206" s="209" t="str">
        <v>See comment</v>
      </c>
    </row>
    <row r="207" spans="1:13" x14ac:dyDescent="0.35">
      <c r="A207" s="209" t="str">
        <v>Infrastructure</v>
      </c>
      <c r="B207" s="209" t="str">
        <v>ERS</v>
      </c>
      <c r="C207" s="209" t="str">
        <v>write off period</v>
      </c>
      <c r="D207" s="209" t="str">
        <v>years</v>
      </c>
      <c r="E207" s="209">
        <v>25</v>
      </c>
      <c r="F207" s="220">
        <v>25</v>
      </c>
      <c r="G207" s="220">
        <v>25</v>
      </c>
      <c r="H207" s="220">
        <v>25</v>
      </c>
      <c r="I207" s="220">
        <v>25</v>
      </c>
      <c r="J207" s="220">
        <v>25</v>
      </c>
      <c r="K207" s="220">
        <v>25</v>
      </c>
      <c r="L207" s="212">
        <v>0</v>
      </c>
      <c r="M207" s="209" t="str">
        <v>See comment</v>
      </c>
    </row>
    <row r="208" spans="1:13" x14ac:dyDescent="0.35">
      <c r="A208" s="209" t="str">
        <v>Infrastructure</v>
      </c>
      <c r="B208" s="209" t="str">
        <v>ERS</v>
      </c>
      <c r="C208" s="209" t="str">
        <v>profit margin</v>
      </c>
      <c r="D208" s="209" t="str">
        <v>ratio</v>
      </c>
      <c r="E208" s="212">
        <v>0.1</v>
      </c>
      <c r="F208" s="219">
        <v>0.1</v>
      </c>
      <c r="G208" s="219">
        <v>0.1</v>
      </c>
      <c r="H208" s="219">
        <v>0.1</v>
      </c>
      <c r="I208" s="219">
        <v>0.1</v>
      </c>
      <c r="J208" s="219">
        <v>0.1</v>
      </c>
      <c r="K208" s="219">
        <v>0.1</v>
      </c>
      <c r="L208" s="212">
        <v>0</v>
      </c>
      <c r="M208" s="209" t="str">
        <v>Same as station</v>
      </c>
    </row>
    <row r="209" spans="1:13" x14ac:dyDescent="0.35">
      <c r="A209" s="209" t="str">
        <v>Infrastructure</v>
      </c>
      <c r="B209" s="209" t="str">
        <v>ERS</v>
      </c>
      <c r="C209" s="209" t="str">
        <v>pick up cost base light</v>
      </c>
      <c r="D209" s="209" t="str">
        <v>euro</v>
      </c>
      <c r="E209" s="213">
        <v>500</v>
      </c>
      <c r="F209" s="214">
        <v>451.96039839999992</v>
      </c>
      <c r="G209" s="214">
        <v>408.53640344377328</v>
      </c>
      <c r="H209" s="214">
        <v>369.28455132270176</v>
      </c>
      <c r="I209" s="214">
        <v>333.80398587754706</v>
      </c>
      <c r="J209" s="214">
        <v>301.73236488944821</v>
      </c>
      <c r="K209" s="214">
        <v>272.74215969121832</v>
      </c>
      <c r="L209" s="212">
        <v>-0.02</v>
      </c>
      <c r="M209" s="209" t="str">
        <v>See comment</v>
      </c>
    </row>
    <row r="210" spans="1:13" x14ac:dyDescent="0.35">
      <c r="A210" s="209" t="str">
        <v>Infrastructure</v>
      </c>
      <c r="B210" s="209" t="str">
        <v>ERS</v>
      </c>
      <c r="C210" s="209" t="str">
        <v>pick up cost base heavy</v>
      </c>
      <c r="D210" s="209" t="str">
        <v>euro</v>
      </c>
      <c r="E210" s="215">
        <v>2000</v>
      </c>
      <c r="F210" s="216">
        <v>1807.8415935999997</v>
      </c>
      <c r="G210" s="216">
        <v>1634.1456137750931</v>
      </c>
      <c r="H210" s="216">
        <v>1477.138205290807</v>
      </c>
      <c r="I210" s="216">
        <v>1335.2159435101883</v>
      </c>
      <c r="J210" s="216">
        <v>1206.9294595577928</v>
      </c>
      <c r="K210" s="216">
        <v>1090.9686387648733</v>
      </c>
      <c r="L210" s="212">
        <v>-0.02</v>
      </c>
      <c r="M210" s="209" t="str">
        <v>See comment</v>
      </c>
    </row>
    <row r="211" spans="1:13" x14ac:dyDescent="0.35">
      <c r="A211" s="209" t="str">
        <v>Infrastructure</v>
      </c>
      <c r="B211" s="209" t="str">
        <v>ERS</v>
      </c>
      <c r="C211" s="209" t="str">
        <v>pick-up cost</v>
      </c>
      <c r="D211" s="209" t="str">
        <v>euro per kW</v>
      </c>
      <c r="E211" s="213">
        <v>50</v>
      </c>
      <c r="F211" s="214">
        <v>45.19603983999999</v>
      </c>
      <c r="G211" s="214">
        <v>40.853640344377325</v>
      </c>
      <c r="H211" s="214">
        <v>36.92845513227018</v>
      </c>
      <c r="I211" s="214">
        <v>33.380398587754705</v>
      </c>
      <c r="J211" s="214">
        <v>30.17323648894482</v>
      </c>
      <c r="K211" s="214">
        <v>27.274215969121833</v>
      </c>
      <c r="L211" s="212">
        <v>-0.02</v>
      </c>
      <c r="M211" s="209" t="str">
        <v>See comment</v>
      </c>
    </row>
    <row r="212" spans="1:13" x14ac:dyDescent="0.35">
      <c r="A212" s="209" t="str">
        <v>Infrastructure</v>
      </c>
      <c r="B212" s="209" t="str">
        <v>ERS</v>
      </c>
      <c r="C212" s="209" t="str">
        <v>pick-up lifespan</v>
      </c>
      <c r="D212" s="209" t="str">
        <v>years</v>
      </c>
      <c r="E212" s="213">
        <v>10</v>
      </c>
      <c r="F212" s="214">
        <v>10</v>
      </c>
      <c r="G212" s="214">
        <v>10</v>
      </c>
      <c r="H212" s="214">
        <v>10</v>
      </c>
      <c r="I212" s="214">
        <v>10</v>
      </c>
      <c r="J212" s="214">
        <v>10</v>
      </c>
      <c r="K212" s="214">
        <v>10</v>
      </c>
      <c r="L212" s="212">
        <v>0</v>
      </c>
      <c r="M212" s="209" t="str">
        <v>See comment</v>
      </c>
    </row>
    <row r="213" spans="1:13" x14ac:dyDescent="0.35">
      <c r="A213" s="209" t="str">
        <v>Infrastructure</v>
      </c>
      <c r="B213" s="209" t="str">
        <v>ERS</v>
      </c>
      <c r="C213" s="209" t="str">
        <v>pick up weight light</v>
      </c>
      <c r="D213" s="209" t="str">
        <v>kg</v>
      </c>
      <c r="E213" s="213">
        <v>50</v>
      </c>
      <c r="F213" s="214">
        <v>47.549502494999999</v>
      </c>
      <c r="G213" s="214">
        <v>45.219103750440212</v>
      </c>
      <c r="H213" s="214">
        <v>43.002917732064418</v>
      </c>
      <c r="I213" s="214">
        <v>40.895346879861535</v>
      </c>
      <c r="J213" s="214">
        <v>38.891067969957319</v>
      </c>
      <c r="K213" s="214">
        <v>36.985018669414004</v>
      </c>
      <c r="L213" s="212">
        <v>-0.01</v>
      </c>
      <c r="M213" s="209" t="str">
        <v>See comment</v>
      </c>
    </row>
    <row r="214" spans="1:13" x14ac:dyDescent="0.35">
      <c r="A214" s="209" t="str">
        <v>Infrastructure</v>
      </c>
      <c r="B214" s="209" t="str">
        <v>ERS</v>
      </c>
      <c r="C214" s="209" t="str">
        <v>pick up weight heavy</v>
      </c>
      <c r="D214" s="209" t="str">
        <v>kg</v>
      </c>
      <c r="E214" s="213">
        <v>300</v>
      </c>
      <c r="F214" s="214">
        <v>285.29701496999996</v>
      </c>
      <c r="G214" s="214">
        <v>271.31462250264127</v>
      </c>
      <c r="H214" s="214">
        <v>258.01750639238651</v>
      </c>
      <c r="I214" s="214">
        <v>245.37208127916921</v>
      </c>
      <c r="J214" s="214">
        <v>233.34640781974392</v>
      </c>
      <c r="K214" s="214">
        <v>221.91011201648402</v>
      </c>
      <c r="L214" s="212">
        <v>-0.01</v>
      </c>
      <c r="M214" s="209" t="str">
        <v>See comment</v>
      </c>
    </row>
    <row r="215" spans="1:13" x14ac:dyDescent="0.35">
      <c r="A215" s="209" t="str">
        <v>Infrastructure</v>
      </c>
      <c r="B215" s="209" t="str">
        <v>ERS</v>
      </c>
      <c r="C215" s="209" t="str">
        <v>standardization risk</v>
      </c>
      <c r="D215" s="209" t="str">
        <v>ratio</v>
      </c>
      <c r="E215" s="212">
        <v>0.5</v>
      </c>
      <c r="F215" s="219">
        <v>0.1638400000000001</v>
      </c>
      <c r="G215" s="219">
        <v>5.3687091200000057E-2</v>
      </c>
      <c r="H215" s="219">
        <v>1.7592186044416029E-2</v>
      </c>
      <c r="I215" s="219">
        <v>5.7646075230342476E-3</v>
      </c>
      <c r="J215" s="219">
        <v>1.8889465931478629E-3</v>
      </c>
      <c r="K215" s="219">
        <v>6.1897001964269203E-4</v>
      </c>
      <c r="L215" s="212">
        <v>-0.2</v>
      </c>
      <c r="M215" s="209" t="str">
        <v>Risk of having picked a different standard than neighboring countries</v>
      </c>
    </row>
    <row r="216" spans="1:13" x14ac:dyDescent="0.35">
      <c r="A216" s="209" t="str">
        <v>Infrastructure</v>
      </c>
      <c r="B216" s="209" t="str">
        <v>ERS</v>
      </c>
      <c r="C216" s="209" t="str">
        <v>cost of standard change</v>
      </c>
      <c r="D216" s="209" t="str">
        <v>ratio</v>
      </c>
      <c r="E216" s="212">
        <v>0.3</v>
      </c>
      <c r="F216" s="219">
        <v>0.3</v>
      </c>
      <c r="G216" s="219">
        <v>0.3</v>
      </c>
      <c r="H216" s="219">
        <v>0.3</v>
      </c>
      <c r="I216" s="219">
        <v>0.3</v>
      </c>
      <c r="J216" s="219">
        <v>0.3</v>
      </c>
      <c r="K216" s="219">
        <v>0.3</v>
      </c>
      <c r="L216" s="212">
        <v>0</v>
      </c>
      <c r="M216" s="209" t="str">
        <v>Cost of retrofitting a new standard</v>
      </c>
    </row>
    <row r="217" spans="1:13" x14ac:dyDescent="0.35">
      <c r="A217" s="209" t="str">
        <v>Infrastructure</v>
      </c>
      <c r="B217" s="209" t="str">
        <v>ERS</v>
      </c>
      <c r="C217" s="209" t="str">
        <v>utilization</v>
      </c>
      <c r="D217" s="209" t="str">
        <v>ratio</v>
      </c>
      <c r="E217" s="219">
        <v>0.2653154761904763</v>
      </c>
      <c r="F217" s="219">
        <v>0.2653154761904763</v>
      </c>
      <c r="G217" s="219">
        <v>0.2653154761904763</v>
      </c>
      <c r="H217" s="219">
        <v>0.2653154761904763</v>
      </c>
      <c r="I217" s="219">
        <v>0.2653154761904763</v>
      </c>
      <c r="J217" s="219">
        <v>0.2653154761904763</v>
      </c>
      <c r="K217" s="219">
        <v>0.2653154761904763</v>
      </c>
      <c r="L217" s="219">
        <v>0</v>
      </c>
      <c r="M217" s="225">
        <v>0</v>
      </c>
    </row>
    <row r="218" spans="1:13" x14ac:dyDescent="0.35">
      <c r="A218" s="209" t="str">
        <v>Infrastructure</v>
      </c>
      <c r="B218" s="209" t="str">
        <v>ERS</v>
      </c>
      <c r="C218" s="209" t="str">
        <v>electricity price</v>
      </c>
      <c r="D218" s="209" t="str">
        <v>ratio</v>
      </c>
      <c r="E218" s="219">
        <v>0.72604475975560701</v>
      </c>
      <c r="F218" s="219">
        <v>0.72604475975560701</v>
      </c>
      <c r="G218" s="219">
        <v>0.72604475975560701</v>
      </c>
      <c r="H218" s="219">
        <v>0.72604475975560701</v>
      </c>
      <c r="I218" s="219">
        <v>0.72604475975560701</v>
      </c>
      <c r="J218" s="219">
        <v>0.72604475975560701</v>
      </c>
      <c r="K218" s="219">
        <v>0.72604475975560701</v>
      </c>
      <c r="L218" s="219">
        <v>0</v>
      </c>
      <c r="M218" s="225">
        <v>0</v>
      </c>
    </row>
    <row r="219" spans="1:13" x14ac:dyDescent="0.35">
      <c r="A219" s="209" t="str">
        <v>Infrastructure</v>
      </c>
      <c r="B219" s="209" t="str">
        <v>ERS</v>
      </c>
      <c r="C219" s="209" t="str">
        <v>grid connection cable</v>
      </c>
      <c r="D219" s="209" t="str">
        <v>euro</v>
      </c>
      <c r="E219" s="215">
        <v>10000</v>
      </c>
      <c r="F219" s="216">
        <v>10000</v>
      </c>
      <c r="G219" s="216">
        <v>10000</v>
      </c>
      <c r="H219" s="216">
        <v>10000</v>
      </c>
      <c r="I219" s="216">
        <v>10000</v>
      </c>
      <c r="J219" s="216">
        <v>10000</v>
      </c>
      <c r="K219" s="216">
        <v>10000</v>
      </c>
      <c r="L219" s="212">
        <v>0</v>
      </c>
      <c r="M219" s="209" t="str">
        <v>20 euro/m, 500 m (All digging costs from: https://www.diva-portal.org/smash/get/diva2:207284/FULLTEXT01.pdf)</v>
      </c>
    </row>
    <row r="220" spans="1:13" x14ac:dyDescent="0.35">
      <c r="A220" s="209" t="str">
        <v>Infrastructure</v>
      </c>
      <c r="B220" s="209" t="str">
        <v>ERS</v>
      </c>
      <c r="C220" s="209" t="str">
        <v>grid connection interval</v>
      </c>
      <c r="D220" s="209" t="str">
        <v>km</v>
      </c>
      <c r="E220" s="209">
        <v>10</v>
      </c>
      <c r="F220" s="220">
        <v>10</v>
      </c>
      <c r="G220" s="220">
        <v>10</v>
      </c>
      <c r="H220" s="220">
        <v>10</v>
      </c>
      <c r="I220" s="220">
        <v>10</v>
      </c>
      <c r="J220" s="220">
        <v>10</v>
      </c>
      <c r="K220" s="220">
        <v>10</v>
      </c>
      <c r="L220" s="212">
        <v>0</v>
      </c>
      <c r="M220" s="209" t="str">
        <v>See comment</v>
      </c>
    </row>
    <row r="221" spans="1:13" x14ac:dyDescent="0.35">
      <c r="A221" s="209" t="str">
        <v>Infrastructure</v>
      </c>
      <c r="B221" s="209" t="str">
        <v>ERS</v>
      </c>
      <c r="C221" s="209" t="str">
        <v>reference</v>
      </c>
      <c r="D221" s="209" t="str">
        <v>aadt</v>
      </c>
      <c r="E221" s="209">
        <v>2000</v>
      </c>
      <c r="F221" s="220">
        <v>2000</v>
      </c>
      <c r="G221" s="220">
        <v>2000</v>
      </c>
      <c r="H221" s="220">
        <v>2000</v>
      </c>
      <c r="I221" s="220">
        <v>2000</v>
      </c>
      <c r="J221" s="220">
        <v>2000</v>
      </c>
      <c r="K221" s="220">
        <v>2000</v>
      </c>
      <c r="L221" s="212">
        <v>0</v>
      </c>
      <c r="M221" s="209" t="str">
        <v>Bidirectional AADT Heavy in Sweden is ~4k on the largest roads. Assume half use ERS.</v>
      </c>
    </row>
    <row r="222" spans="1:13" x14ac:dyDescent="0.35">
      <c r="A222" s="209" t="str">
        <v>Infrastructure</v>
      </c>
      <c r="B222" s="209" t="str">
        <v>Rest Stop</v>
      </c>
      <c r="C222" s="209" t="str">
        <v>hardware cost</v>
      </c>
      <c r="D222" s="209" t="str">
        <v>euro per kW</v>
      </c>
      <c r="E222" s="213">
        <v>300</v>
      </c>
      <c r="F222" s="214">
        <v>285.29701496999996</v>
      </c>
      <c r="G222" s="214">
        <v>271.31462250264127</v>
      </c>
      <c r="H222" s="214">
        <v>258.01750639238651</v>
      </c>
      <c r="I222" s="214">
        <v>245.37208127916921</v>
      </c>
      <c r="J222" s="214">
        <v>233.34640781974392</v>
      </c>
      <c r="K222" s="214">
        <v>221.91011201648402</v>
      </c>
      <c r="L222" s="212">
        <v>-0.01</v>
      </c>
      <c r="M222" s="209" t="str">
        <v>300 from Andreas Kammel. 500 (probably includes grid) from a mix of Trafikverket, Karlström 2020 ("Kunskapssammanställning stationär laddning till tunga lastbilar"), Scania offer, Future Energy (FE). FE clearly states that hardware cost per kW increases with higher power.</v>
      </c>
    </row>
    <row r="223" spans="1:13" x14ac:dyDescent="0.35">
      <c r="A223" s="209" t="str">
        <v>Infrastructure</v>
      </c>
      <c r="B223" s="209" t="str">
        <v>Rest Stop</v>
      </c>
      <c r="C223" s="209" t="str">
        <v>hardware maintenance</v>
      </c>
      <c r="D223" s="209" t="str">
        <v>ratio per year</v>
      </c>
      <c r="E223" s="212">
        <v>0.1</v>
      </c>
      <c r="F223" s="219">
        <v>9.7524875312187509E-2</v>
      </c>
      <c r="G223" s="219">
        <v>9.5111013046577209E-2</v>
      </c>
      <c r="H223" s="219">
        <v>9.2756896881832807E-2</v>
      </c>
      <c r="I223" s="219">
        <v>9.0461048027461785E-2</v>
      </c>
      <c r="J223" s="219">
        <v>8.8222024294880158E-2</v>
      </c>
      <c r="K223" s="219">
        <v>8.6038419191469651E-2</v>
      </c>
      <c r="L223" s="212">
        <v>-5.0000000000000001E-3</v>
      </c>
      <c r="M223" s="209" t="str">
        <v>Guess based on discussions with ChargeNode</v>
      </c>
    </row>
    <row r="224" spans="1:13" x14ac:dyDescent="0.35">
      <c r="A224" s="209" t="str">
        <v>Infrastructure</v>
      </c>
      <c r="B224" s="209" t="str">
        <v>Rest Stop</v>
      </c>
      <c r="C224" s="209" t="str">
        <v>grid connection cable</v>
      </c>
      <c r="D224" s="209" t="str">
        <v>euro</v>
      </c>
      <c r="E224" s="215">
        <v>15000</v>
      </c>
      <c r="F224" s="216">
        <v>15000</v>
      </c>
      <c r="G224" s="216">
        <v>15000</v>
      </c>
      <c r="H224" s="216">
        <v>15000</v>
      </c>
      <c r="I224" s="216">
        <v>15000</v>
      </c>
      <c r="J224" s="216">
        <v>15000</v>
      </c>
      <c r="K224" s="216">
        <v>15000</v>
      </c>
      <c r="L224" s="212">
        <v>0</v>
      </c>
      <c r="M224" s="209" t="str">
        <v>20 euro/m, 750 m</v>
      </c>
    </row>
    <row r="225" spans="1:13" x14ac:dyDescent="0.35">
      <c r="A225" s="209" t="str">
        <v>Infrastructure</v>
      </c>
      <c r="B225" s="209" t="str">
        <v>Rest Stop</v>
      </c>
      <c r="C225" s="209" t="str">
        <v>write off period</v>
      </c>
      <c r="D225" s="209" t="str">
        <v>years</v>
      </c>
      <c r="E225" s="209">
        <v>15</v>
      </c>
      <c r="F225" s="220">
        <v>15</v>
      </c>
      <c r="G225" s="220">
        <v>15</v>
      </c>
      <c r="H225" s="220">
        <v>15</v>
      </c>
      <c r="I225" s="220">
        <v>15</v>
      </c>
      <c r="J225" s="220">
        <v>15</v>
      </c>
      <c r="K225" s="220">
        <v>15</v>
      </c>
      <c r="L225" s="212">
        <v>0</v>
      </c>
      <c r="M225" s="209" t="str">
        <v>TRV says 25. Kristoffer Ahlén, Price and Product Manager at Preem, says 10.</v>
      </c>
    </row>
    <row r="226" spans="1:13" x14ac:dyDescent="0.35">
      <c r="A226" s="209" t="str">
        <v>Infrastructure</v>
      </c>
      <c r="B226" s="209" t="str">
        <v>Rest Stop</v>
      </c>
      <c r="C226" s="209" t="str">
        <v>profit margin</v>
      </c>
      <c r="D226" s="209" t="str">
        <v>ratio</v>
      </c>
      <c r="E226" s="212">
        <v>0.1</v>
      </c>
      <c r="F226" s="219">
        <v>0.1</v>
      </c>
      <c r="G226" s="219">
        <v>0.1</v>
      </c>
      <c r="H226" s="219">
        <v>0.1</v>
      </c>
      <c r="I226" s="219">
        <v>0.1</v>
      </c>
      <c r="J226" s="219">
        <v>0.1</v>
      </c>
      <c r="K226" s="219">
        <v>0.1</v>
      </c>
      <c r="L226" s="212">
        <v>0</v>
      </c>
      <c r="M226" s="209" t="str">
        <v>Guess</v>
      </c>
    </row>
    <row r="227" spans="1:13" x14ac:dyDescent="0.35">
      <c r="A227" s="209" t="str">
        <v>Infrastructure</v>
      </c>
      <c r="B227" s="209" t="str">
        <v>Rest Stop</v>
      </c>
      <c r="C227" s="209" t="str">
        <v>utilization</v>
      </c>
      <c r="D227" s="209" t="str">
        <v>ratio</v>
      </c>
      <c r="E227" s="219">
        <v>0.19898660714285721</v>
      </c>
      <c r="F227" s="219">
        <v>0.19898660714285721</v>
      </c>
      <c r="G227" s="219">
        <v>0.19898660714285721</v>
      </c>
      <c r="H227" s="219">
        <v>0.19898660714285721</v>
      </c>
      <c r="I227" s="219">
        <v>0.19898660714285721</v>
      </c>
      <c r="J227" s="219">
        <v>0.19898660714285721</v>
      </c>
      <c r="K227" s="219">
        <v>0.19898660714285721</v>
      </c>
      <c r="L227" s="219">
        <v>0</v>
      </c>
      <c r="M227" s="225">
        <v>0</v>
      </c>
    </row>
    <row r="228" spans="1:13" x14ac:dyDescent="0.35">
      <c r="A228" s="209" t="str">
        <v>Infrastructure</v>
      </c>
      <c r="B228" s="209" t="str">
        <v>Rest Stop</v>
      </c>
      <c r="C228" s="209" t="str">
        <v>electricity price</v>
      </c>
      <c r="D228" s="209" t="str">
        <v>ratio</v>
      </c>
      <c r="E228" s="219">
        <v>0.72604475975560701</v>
      </c>
      <c r="F228" s="219">
        <v>0.72604475975560701</v>
      </c>
      <c r="G228" s="219">
        <v>0.72604475975560701</v>
      </c>
      <c r="H228" s="219">
        <v>0.72604475975560701</v>
      </c>
      <c r="I228" s="219">
        <v>0.72604475975560701</v>
      </c>
      <c r="J228" s="219">
        <v>0.72604475975560701</v>
      </c>
      <c r="K228" s="219">
        <v>0.72604475975560701</v>
      </c>
      <c r="L228" s="219">
        <v>0</v>
      </c>
      <c r="M228" s="225">
        <v>0</v>
      </c>
    </row>
    <row r="229" spans="1:13" x14ac:dyDescent="0.35">
      <c r="A229" s="209" t="str">
        <v>Infrastructure</v>
      </c>
      <c r="B229" s="209" t="str">
        <v>Rest Stop</v>
      </c>
      <c r="C229" s="209" t="str">
        <v>reference</v>
      </c>
      <c r="D229" s="209" t="str">
        <v>vehicles per day</v>
      </c>
      <c r="E229" s="209">
        <v>100</v>
      </c>
      <c r="F229" s="220">
        <v>100</v>
      </c>
      <c r="G229" s="220">
        <v>100</v>
      </c>
      <c r="H229" s="220">
        <v>100</v>
      </c>
      <c r="I229" s="220">
        <v>100</v>
      </c>
      <c r="J229" s="220">
        <v>100</v>
      </c>
      <c r="K229" s="220">
        <v>100</v>
      </c>
      <c r="L229" s="212">
        <v>0</v>
      </c>
      <c r="M229" s="209" t="str">
        <v>Seed value. Bidirectional AADT Heavy in Sweden is ~4k on the largest roads. If vehicles must stop every 5th opportunity and half use stations.</v>
      </c>
    </row>
    <row r="230" spans="1:13" x14ac:dyDescent="0.35">
      <c r="A230" s="209" t="str">
        <v>Infrastructure</v>
      </c>
      <c r="B230" s="209" t="str">
        <v>Depot</v>
      </c>
      <c r="C230" s="209" t="str">
        <v>hardware cost</v>
      </c>
      <c r="D230" s="209" t="str">
        <v>euro per kW</v>
      </c>
      <c r="E230" s="213">
        <v>300</v>
      </c>
      <c r="F230" s="214">
        <v>285.29701496999996</v>
      </c>
      <c r="G230" s="214">
        <v>271.31462250264127</v>
      </c>
      <c r="H230" s="214">
        <v>258.01750639238651</v>
      </c>
      <c r="I230" s="214">
        <v>245.37208127916921</v>
      </c>
      <c r="J230" s="214">
        <v>233.34640781974392</v>
      </c>
      <c r="K230" s="214">
        <v>221.91011201648402</v>
      </c>
      <c r="L230" s="212">
        <v>-0.01</v>
      </c>
      <c r="M230" s="209">
        <v>0</v>
      </c>
    </row>
    <row r="231" spans="1:13" x14ac:dyDescent="0.35">
      <c r="A231" s="209" t="str">
        <v>Infrastructure</v>
      </c>
      <c r="B231" s="209" t="str">
        <v>Depot</v>
      </c>
      <c r="C231" s="209" t="str">
        <v>hardware maintenance</v>
      </c>
      <c r="D231" s="209" t="str">
        <v>ratio per year</v>
      </c>
      <c r="E231" s="212">
        <v>0.1</v>
      </c>
      <c r="F231" s="219">
        <v>9.7524875312187509E-2</v>
      </c>
      <c r="G231" s="219">
        <v>9.5111013046577209E-2</v>
      </c>
      <c r="H231" s="219">
        <v>9.2756896881832807E-2</v>
      </c>
      <c r="I231" s="219">
        <v>9.0461048027461785E-2</v>
      </c>
      <c r="J231" s="219">
        <v>8.8222024294880158E-2</v>
      </c>
      <c r="K231" s="219">
        <v>8.6038419191469651E-2</v>
      </c>
      <c r="L231" s="212">
        <v>-5.0000000000000001E-3</v>
      </c>
      <c r="M231" s="209" t="str">
        <v>Guess based on discussions with ChargeNode</v>
      </c>
    </row>
    <row r="232" spans="1:13" x14ac:dyDescent="0.35">
      <c r="A232" s="209" t="str">
        <v>Infrastructure</v>
      </c>
      <c r="B232" s="209" t="str">
        <v>Depot</v>
      </c>
      <c r="C232" s="209" t="str">
        <v>grid connection cable</v>
      </c>
      <c r="D232" s="209" t="str">
        <v>euro</v>
      </c>
      <c r="E232" s="215">
        <v>5000</v>
      </c>
      <c r="F232" s="216">
        <v>5000</v>
      </c>
      <c r="G232" s="216">
        <v>5000</v>
      </c>
      <c r="H232" s="216">
        <v>5000</v>
      </c>
      <c r="I232" s="216">
        <v>5000</v>
      </c>
      <c r="J232" s="216">
        <v>5000</v>
      </c>
      <c r="K232" s="216">
        <v>5000</v>
      </c>
      <c r="L232" s="212">
        <v>0</v>
      </c>
      <c r="M232" s="209" t="str">
        <v>50 euro/m, 100 m</v>
      </c>
    </row>
    <row r="233" spans="1:13" x14ac:dyDescent="0.35">
      <c r="A233" s="209" t="str">
        <v>Infrastructure</v>
      </c>
      <c r="B233" s="209" t="str">
        <v>Depot</v>
      </c>
      <c r="C233" s="209" t="str">
        <v>write off period</v>
      </c>
      <c r="D233" s="209" t="str">
        <v>years</v>
      </c>
      <c r="E233" s="209">
        <v>7</v>
      </c>
      <c r="F233" s="220">
        <v>7</v>
      </c>
      <c r="G233" s="220">
        <v>7</v>
      </c>
      <c r="H233" s="220">
        <v>7</v>
      </c>
      <c r="I233" s="220">
        <v>7</v>
      </c>
      <c r="J233" s="220">
        <v>7</v>
      </c>
      <c r="K233" s="220">
        <v>7</v>
      </c>
      <c r="L233" s="212">
        <v>0</v>
      </c>
      <c r="M233" s="209" t="str">
        <v>Guess</v>
      </c>
    </row>
    <row r="234" spans="1:13" x14ac:dyDescent="0.35">
      <c r="A234" s="209" t="str">
        <v>Infrastructure</v>
      </c>
      <c r="B234" s="209" t="str">
        <v>Depot</v>
      </c>
      <c r="C234" s="209" t="str">
        <v>profit margin</v>
      </c>
      <c r="D234" s="209" t="str">
        <v>ratio</v>
      </c>
      <c r="E234" s="212">
        <v>0.1</v>
      </c>
      <c r="F234" s="219">
        <v>0.1</v>
      </c>
      <c r="G234" s="219">
        <v>0.1</v>
      </c>
      <c r="H234" s="219">
        <v>0.1</v>
      </c>
      <c r="I234" s="219">
        <v>0.1</v>
      </c>
      <c r="J234" s="219">
        <v>0.1</v>
      </c>
      <c r="K234" s="219">
        <v>0.1</v>
      </c>
      <c r="L234" s="212">
        <v>0</v>
      </c>
      <c r="M234" s="209" t="str">
        <v>Guess, haulier rents infra</v>
      </c>
    </row>
    <row r="235" spans="1:13" x14ac:dyDescent="0.35">
      <c r="A235" s="209" t="str">
        <v>Infrastructure</v>
      </c>
      <c r="B235" s="209" t="str">
        <v>Depot</v>
      </c>
      <c r="C235" s="209" t="str">
        <v>utilization</v>
      </c>
      <c r="D235" s="209" t="str">
        <v>ratio</v>
      </c>
      <c r="E235" s="219">
        <v>0.34132097069597084</v>
      </c>
      <c r="F235" s="219">
        <v>0.34132097069597084</v>
      </c>
      <c r="G235" s="219">
        <v>0.34132097069597084</v>
      </c>
      <c r="H235" s="219">
        <v>0.34132097069597084</v>
      </c>
      <c r="I235" s="219">
        <v>0.34132097069597084</v>
      </c>
      <c r="J235" s="219">
        <v>0.34132097069597084</v>
      </c>
      <c r="K235" s="219">
        <v>0.34132097069597084</v>
      </c>
      <c r="L235" s="219">
        <v>0</v>
      </c>
      <c r="M235" s="225">
        <v>0</v>
      </c>
    </row>
    <row r="236" spans="1:13" x14ac:dyDescent="0.35">
      <c r="A236" s="209" t="str">
        <v>Infrastructure</v>
      </c>
      <c r="B236" s="209" t="str">
        <v>Depot</v>
      </c>
      <c r="C236" s="209" t="str">
        <v>electricity price</v>
      </c>
      <c r="D236" s="209" t="str">
        <v>ratio</v>
      </c>
      <c r="E236" s="219">
        <v>0.37642924705736347</v>
      </c>
      <c r="F236" s="219">
        <v>0.37642924705736347</v>
      </c>
      <c r="G236" s="219">
        <v>0.37642924705736347</v>
      </c>
      <c r="H236" s="219">
        <v>0.37642924705736347</v>
      </c>
      <c r="I236" s="219">
        <v>0.37642924705736347</v>
      </c>
      <c r="J236" s="219">
        <v>0.37642924705736347</v>
      </c>
      <c r="K236" s="219">
        <v>0.37642924705736347</v>
      </c>
      <c r="L236" s="219">
        <v>0</v>
      </c>
      <c r="M236" s="225">
        <v>0</v>
      </c>
    </row>
    <row r="237" spans="1:13" x14ac:dyDescent="0.35">
      <c r="A237" s="209" t="str">
        <v>Infrastructure</v>
      </c>
      <c r="B237" s="209" t="str">
        <v>Depot</v>
      </c>
      <c r="C237" s="209" t="str">
        <v>reference</v>
      </c>
      <c r="D237" s="209" t="str">
        <v>vehicles per day</v>
      </c>
      <c r="E237" s="209">
        <v>20</v>
      </c>
      <c r="F237" s="220">
        <v>20</v>
      </c>
      <c r="G237" s="220">
        <v>20</v>
      </c>
      <c r="H237" s="220">
        <v>20</v>
      </c>
      <c r="I237" s="220">
        <v>20</v>
      </c>
      <c r="J237" s="220">
        <v>20</v>
      </c>
      <c r="K237" s="220">
        <v>20</v>
      </c>
      <c r="L237" s="212">
        <v>0</v>
      </c>
      <c r="M237" s="209" t="str">
        <v>Seed value. Guess.</v>
      </c>
    </row>
    <row r="238" spans="1:13" x14ac:dyDescent="0.35">
      <c r="A238" s="209" t="str">
        <v>Infrastructure</v>
      </c>
      <c r="B238" s="209" t="str">
        <v>Destination</v>
      </c>
      <c r="C238" s="209" t="str">
        <v>hardware cost</v>
      </c>
      <c r="D238" s="209" t="str">
        <v>euro per kW</v>
      </c>
      <c r="E238" s="213">
        <v>300</v>
      </c>
      <c r="F238" s="214">
        <v>285.29701496999996</v>
      </c>
      <c r="G238" s="214">
        <v>271.31462250264127</v>
      </c>
      <c r="H238" s="214">
        <v>258.01750639238651</v>
      </c>
      <c r="I238" s="214">
        <v>245.37208127916921</v>
      </c>
      <c r="J238" s="214">
        <v>233.34640781974392</v>
      </c>
      <c r="K238" s="214">
        <v>221.91011201648402</v>
      </c>
      <c r="L238" s="212">
        <v>-0.01</v>
      </c>
      <c r="M238" s="209">
        <v>0</v>
      </c>
    </row>
    <row r="239" spans="1:13" x14ac:dyDescent="0.35">
      <c r="A239" s="209" t="str">
        <v>Infrastructure</v>
      </c>
      <c r="B239" s="209" t="str">
        <v>Destination</v>
      </c>
      <c r="C239" s="209" t="str">
        <v>hardware maintenance</v>
      </c>
      <c r="D239" s="209" t="str">
        <v>ratio per year</v>
      </c>
      <c r="E239" s="212">
        <v>0.1</v>
      </c>
      <c r="F239" s="219">
        <v>9.7524875312187509E-2</v>
      </c>
      <c r="G239" s="219">
        <v>9.5111013046577209E-2</v>
      </c>
      <c r="H239" s="219">
        <v>9.2756896881832807E-2</v>
      </c>
      <c r="I239" s="219">
        <v>9.0461048027461785E-2</v>
      </c>
      <c r="J239" s="219">
        <v>8.8222024294880158E-2</v>
      </c>
      <c r="K239" s="219">
        <v>8.6038419191469651E-2</v>
      </c>
      <c r="L239" s="212">
        <v>-5.0000000000000001E-3</v>
      </c>
      <c r="M239" s="209" t="str">
        <v>As rest stop</v>
      </c>
    </row>
    <row r="240" spans="1:13" x14ac:dyDescent="0.35">
      <c r="A240" s="209" t="str">
        <v>Infrastructure</v>
      </c>
      <c r="B240" s="209" t="str">
        <v>Destination</v>
      </c>
      <c r="C240" s="209" t="str">
        <v>grid connection cable</v>
      </c>
      <c r="D240" s="209" t="str">
        <v>euro</v>
      </c>
      <c r="E240" s="215">
        <v>5000</v>
      </c>
      <c r="F240" s="216">
        <v>5000</v>
      </c>
      <c r="G240" s="216">
        <v>5000</v>
      </c>
      <c r="H240" s="216">
        <v>5000</v>
      </c>
      <c r="I240" s="216">
        <v>5000</v>
      </c>
      <c r="J240" s="216">
        <v>5000</v>
      </c>
      <c r="K240" s="216">
        <v>5000</v>
      </c>
      <c r="L240" s="212">
        <v>0</v>
      </c>
      <c r="M240" s="209" t="str">
        <v>As depot</v>
      </c>
    </row>
    <row r="241" spans="1:13" x14ac:dyDescent="0.35">
      <c r="A241" s="209" t="str">
        <v>Infrastructure</v>
      </c>
      <c r="B241" s="209" t="str">
        <v>Destination</v>
      </c>
      <c r="C241" s="209" t="str">
        <v>write off period</v>
      </c>
      <c r="D241" s="209" t="str">
        <v>years</v>
      </c>
      <c r="E241" s="209">
        <v>10</v>
      </c>
      <c r="F241" s="220">
        <v>10</v>
      </c>
      <c r="G241" s="220">
        <v>10</v>
      </c>
      <c r="H241" s="220">
        <v>10</v>
      </c>
      <c r="I241" s="220">
        <v>10</v>
      </c>
      <c r="J241" s="220">
        <v>10</v>
      </c>
      <c r="K241" s="220">
        <v>10</v>
      </c>
      <c r="L241" s="212">
        <v>0</v>
      </c>
      <c r="M241" s="209" t="str">
        <v>Guess</v>
      </c>
    </row>
    <row r="242" spans="1:13" x14ac:dyDescent="0.35">
      <c r="A242" s="209" t="str">
        <v>Infrastructure</v>
      </c>
      <c r="B242" s="209" t="str">
        <v>Destination</v>
      </c>
      <c r="C242" s="209" t="str">
        <v>profit margin</v>
      </c>
      <c r="D242" s="209" t="str">
        <v>ratio</v>
      </c>
      <c r="E242" s="212">
        <v>0.1</v>
      </c>
      <c r="F242" s="219">
        <v>0.1</v>
      </c>
      <c r="G242" s="219">
        <v>0.1</v>
      </c>
      <c r="H242" s="219">
        <v>0.1</v>
      </c>
      <c r="I242" s="219">
        <v>0.1</v>
      </c>
      <c r="J242" s="219">
        <v>0.1</v>
      </c>
      <c r="K242" s="219">
        <v>0.1</v>
      </c>
      <c r="L242" s="212">
        <v>0</v>
      </c>
      <c r="M242" s="209" t="str">
        <v>As depot</v>
      </c>
    </row>
    <row r="243" spans="1:13" x14ac:dyDescent="0.35">
      <c r="A243" s="209" t="str">
        <v>Infrastructure</v>
      </c>
      <c r="B243" s="209" t="str">
        <v>Destination</v>
      </c>
      <c r="C243" s="209" t="str">
        <v>utilization</v>
      </c>
      <c r="D243" s="209" t="str">
        <v>ratio</v>
      </c>
      <c r="E243" s="219">
        <v>0.13418253968253971</v>
      </c>
      <c r="F243" s="219">
        <v>0.13418253968253971</v>
      </c>
      <c r="G243" s="219">
        <v>0.13418253968253971</v>
      </c>
      <c r="H243" s="219">
        <v>0.13418253968253971</v>
      </c>
      <c r="I243" s="219">
        <v>0.13418253968253971</v>
      </c>
      <c r="J243" s="219">
        <v>0.13418253968253971</v>
      </c>
      <c r="K243" s="219">
        <v>0.13418253968253971</v>
      </c>
      <c r="L243" s="219">
        <v>0</v>
      </c>
      <c r="M243" s="225">
        <v>0</v>
      </c>
    </row>
    <row r="244" spans="1:13" x14ac:dyDescent="0.35">
      <c r="A244" s="209" t="str">
        <v>Infrastructure</v>
      </c>
      <c r="B244" s="209" t="str">
        <v>Destination</v>
      </c>
      <c r="C244" s="209" t="str">
        <v>electricity price</v>
      </c>
      <c r="D244" s="209" t="str">
        <v>ratio</v>
      </c>
      <c r="E244" s="219">
        <v>0.82451781904715449</v>
      </c>
      <c r="F244" s="219">
        <v>0.82451781904715449</v>
      </c>
      <c r="G244" s="219">
        <v>0.82451781904715449</v>
      </c>
      <c r="H244" s="219">
        <v>0.82451781904715449</v>
      </c>
      <c r="I244" s="219">
        <v>0.82451781904715449</v>
      </c>
      <c r="J244" s="219">
        <v>0.82451781904715449</v>
      </c>
      <c r="K244" s="219">
        <v>0.82451781904715449</v>
      </c>
      <c r="L244" s="219">
        <v>0</v>
      </c>
      <c r="M244" s="225">
        <v>0</v>
      </c>
    </row>
    <row r="245" spans="1:13" x14ac:dyDescent="0.35">
      <c r="A245" s="209" t="str">
        <v>Infrastructure</v>
      </c>
      <c r="B245" s="209" t="str">
        <v>Destination</v>
      </c>
      <c r="C245" s="209" t="str">
        <v>reference</v>
      </c>
      <c r="D245" s="209" t="str">
        <v>vehicles per day</v>
      </c>
      <c r="E245" s="209">
        <v>50</v>
      </c>
      <c r="F245" s="220">
        <v>50</v>
      </c>
      <c r="G245" s="220">
        <v>50</v>
      </c>
      <c r="H245" s="220">
        <v>50</v>
      </c>
      <c r="I245" s="220">
        <v>50</v>
      </c>
      <c r="J245" s="220">
        <v>50</v>
      </c>
      <c r="K245" s="220">
        <v>50</v>
      </c>
      <c r="L245" s="212">
        <v>0</v>
      </c>
      <c r="M245" s="209" t="str">
        <v>Seed value. Guess.</v>
      </c>
    </row>
    <row r="246" spans="1:13" x14ac:dyDescent="0.35">
      <c r="A246" s="209" t="str">
        <v>Infrastructure</v>
      </c>
      <c r="B246" s="209" t="str">
        <v>Grid</v>
      </c>
      <c r="C246" s="209" t="str">
        <v>initial acccess base</v>
      </c>
      <c r="D246" s="209" t="str">
        <v>euro</v>
      </c>
      <c r="E246" s="215">
        <v>5000</v>
      </c>
      <c r="F246" s="216">
        <v>5000</v>
      </c>
      <c r="G246" s="216">
        <v>5000</v>
      </c>
      <c r="H246" s="216">
        <v>5000</v>
      </c>
      <c r="I246" s="216">
        <v>5000</v>
      </c>
      <c r="J246" s="216">
        <v>5000</v>
      </c>
      <c r="K246" s="216">
        <v>5000</v>
      </c>
      <c r="L246" s="212">
        <v>0</v>
      </c>
      <c r="M246" s="209" t="str">
        <v>Figure from Ellevio (Swedish DSO) used in past project</v>
      </c>
    </row>
    <row r="247" spans="1:13" x14ac:dyDescent="0.35">
      <c r="A247" s="209" t="str">
        <v>Infrastructure</v>
      </c>
      <c r="B247" s="209" t="str">
        <v>Grid</v>
      </c>
      <c r="C247" s="209" t="str">
        <v>initial acccess</v>
      </c>
      <c r="D247" s="209" t="str">
        <v>euro per kW</v>
      </c>
      <c r="E247" s="209">
        <v>300</v>
      </c>
      <c r="F247" s="220">
        <v>300</v>
      </c>
      <c r="G247" s="220">
        <v>300</v>
      </c>
      <c r="H247" s="220">
        <v>300</v>
      </c>
      <c r="I247" s="220">
        <v>300</v>
      </c>
      <c r="J247" s="220">
        <v>300</v>
      </c>
      <c r="K247" s="220">
        <v>300</v>
      </c>
      <c r="L247" s="212">
        <v>0</v>
      </c>
      <c r="M247" s="209" t="str">
        <v>As above. Adjusted from 100 to 300 based on feedback from Andreas Kammel.</v>
      </c>
    </row>
    <row r="248" spans="1:13" x14ac:dyDescent="0.35">
      <c r="A248" s="209" t="str">
        <v>Infrastructure</v>
      </c>
      <c r="B248" s="209" t="str">
        <v>Grid</v>
      </c>
      <c r="C248" s="209" t="str">
        <v>fee at 10 percent utilization</v>
      </c>
      <c r="D248" s="209" t="str">
        <v>euro per kWh</v>
      </c>
      <c r="E248" s="209">
        <v>0.06</v>
      </c>
      <c r="F248" s="220">
        <v>0.06</v>
      </c>
      <c r="G248" s="220">
        <v>0.06</v>
      </c>
      <c r="H248" s="220">
        <v>0.06</v>
      </c>
      <c r="I248" s="220">
        <v>0.06</v>
      </c>
      <c r="J248" s="220">
        <v>0.06</v>
      </c>
      <c r="K248" s="220">
        <v>0.06</v>
      </c>
      <c r="L248" s="212">
        <v>0</v>
      </c>
      <c r="M248" s="209" t="str">
        <v>As above</v>
      </c>
    </row>
    <row r="250" spans="1:13" x14ac:dyDescent="0.35">
      <c r="A250" s="209" t="s">
        <v>96</v>
      </c>
    </row>
    <row r="251" spans="1:13" x14ac:dyDescent="0.35">
      <c r="A251" s="208" t="str" cm="1">
        <f t="array" ref="A251:M284">world!A1:M34</f>
        <v>group</v>
      </c>
      <c r="B251" s="208" t="str">
        <v>subgroup</v>
      </c>
      <c r="C251" s="208" t="str">
        <v>variable</v>
      </c>
      <c r="D251" s="208" t="str">
        <v>unit</v>
      </c>
      <c r="E251" s="208">
        <v>2020</v>
      </c>
      <c r="F251" s="229">
        <v>2025</v>
      </c>
      <c r="G251" s="229">
        <v>2030</v>
      </c>
      <c r="H251" s="229">
        <v>2035</v>
      </c>
      <c r="I251" s="229">
        <v>2040</v>
      </c>
      <c r="J251" s="229">
        <v>2045</v>
      </c>
      <c r="K251" s="229">
        <v>2050</v>
      </c>
      <c r="L251" s="212" t="str">
        <v>Annual change</v>
      </c>
      <c r="M251" s="209" t="str">
        <v>Sources</v>
      </c>
    </row>
    <row r="252" spans="1:13" x14ac:dyDescent="0.35">
      <c r="A252" s="209" t="str">
        <v>World</v>
      </c>
      <c r="B252" s="209" t="str">
        <v>Economy</v>
      </c>
      <c r="C252" s="209" t="str">
        <v>Public sector interest rate</v>
      </c>
      <c r="D252" s="209" t="str">
        <v>percent</v>
      </c>
      <c r="E252" s="212">
        <v>0.02</v>
      </c>
      <c r="F252" s="219">
        <v>0.02</v>
      </c>
      <c r="G252" s="219">
        <v>0.02</v>
      </c>
      <c r="H252" s="219">
        <v>0.02</v>
      </c>
      <c r="I252" s="219">
        <v>0.02</v>
      </c>
      <c r="J252" s="219">
        <v>0.02</v>
      </c>
      <c r="K252" s="219">
        <v>0.02</v>
      </c>
      <c r="L252" s="212">
        <v>0</v>
      </c>
      <c r="M252" s="226" t="str">
        <v>https://www.pwc.se/sv/pdf-reports/corporate-finance/riskpremiestudien-2021.pdf, https://www.riksgalden.se/sv/var-verksamhet/statslanerantan/</v>
      </c>
    </row>
    <row r="253" spans="1:13" x14ac:dyDescent="0.35">
      <c r="A253" s="209" t="str">
        <v>World</v>
      </c>
      <c r="B253" s="209" t="str">
        <v>Economy</v>
      </c>
      <c r="C253" s="209" t="str">
        <v>Private sector interest public charging and trucks</v>
      </c>
      <c r="D253" s="209" t="str">
        <v>percent</v>
      </c>
      <c r="E253" s="212">
        <v>0.03</v>
      </c>
      <c r="F253" s="219">
        <v>0.03</v>
      </c>
      <c r="G253" s="219">
        <v>0.03</v>
      </c>
      <c r="H253" s="219">
        <v>0.03</v>
      </c>
      <c r="I253" s="219">
        <v>0.03</v>
      </c>
      <c r="J253" s="219">
        <v>0.03</v>
      </c>
      <c r="K253" s="219">
        <v>0.03</v>
      </c>
      <c r="L253" s="212">
        <v>0</v>
      </c>
      <c r="M253" s="226" t="str">
        <v>6% above base interest, companies with credit rating AAA/AA (https://firmalan.com/sv/lana-pengar/jamfor-lan/)</v>
      </c>
    </row>
    <row r="254" spans="1:13" x14ac:dyDescent="0.35">
      <c r="A254" s="209" t="str">
        <v>World</v>
      </c>
      <c r="B254" s="209" t="str">
        <v>Economy</v>
      </c>
      <c r="C254" s="209" t="str">
        <v>Private sector interest depot charging</v>
      </c>
      <c r="D254" s="209" t="str">
        <v>percent</v>
      </c>
      <c r="E254" s="212">
        <v>7.0000000000000007E-2</v>
      </c>
      <c r="F254" s="219">
        <v>7.0000000000000007E-2</v>
      </c>
      <c r="G254" s="219">
        <v>7.0000000000000007E-2</v>
      </c>
      <c r="H254" s="219">
        <v>7.0000000000000007E-2</v>
      </c>
      <c r="I254" s="219">
        <v>7.0000000000000007E-2</v>
      </c>
      <c r="J254" s="219">
        <v>7.0000000000000007E-2</v>
      </c>
      <c r="K254" s="219">
        <v>7.0000000000000007E-2</v>
      </c>
      <c r="L254" s="212">
        <v>0</v>
      </c>
      <c r="M254" s="226" t="str">
        <v>10% above base interest. Depot chargers should offer poor security. (https://firmalan.com/sv/lana-pengar/jamfor-lan/)</v>
      </c>
    </row>
    <row r="255" spans="1:13" x14ac:dyDescent="0.35">
      <c r="A255" s="209" t="str">
        <v>World</v>
      </c>
      <c r="B255" s="209" t="str">
        <v>Economy</v>
      </c>
      <c r="C255" s="209" t="str">
        <v>Heavy traffic volume vs 2020</v>
      </c>
      <c r="D255" s="209" t="str">
        <v>percent</v>
      </c>
      <c r="E255" s="210">
        <v>2.5</v>
      </c>
      <c r="F255" s="211">
        <v>2.6667802829407314</v>
      </c>
      <c r="G255" s="211">
        <v>2.8446868309925804</v>
      </c>
      <c r="H255" s="211">
        <v>3.0344619008128673</v>
      </c>
      <c r="I255" s="211">
        <v>3.2368972665690436</v>
      </c>
      <c r="J255" s="211">
        <v>3.4528375233564308</v>
      </c>
      <c r="K255" s="211">
        <v>3.683183610993936</v>
      </c>
      <c r="L255" s="212">
        <v>1.2999999999999999E-2</v>
      </c>
      <c r="M255" s="226" t="str">
        <v>Trafikverket's base forecast for road cargo 2017-2040, Fig 6.4 (https://trafikverket.diva-portal.org/smash/get/diva2:1749263/FULLTEXT01.pdf)</v>
      </c>
    </row>
    <row r="256" spans="1:13" x14ac:dyDescent="0.35">
      <c r="A256" s="209" t="str">
        <v>World</v>
      </c>
      <c r="B256" s="209" t="str">
        <v>Economy</v>
      </c>
      <c r="C256" s="209" t="str">
        <v>Logistic BEV penalty</v>
      </c>
      <c r="D256" s="209" t="str">
        <v>percent</v>
      </c>
      <c r="E256" s="210">
        <v>0.15</v>
      </c>
      <c r="F256" s="211">
        <v>0.125</v>
      </c>
      <c r="G256" s="211">
        <v>0.1</v>
      </c>
      <c r="H256" s="211">
        <v>7.5000000000000011E-2</v>
      </c>
      <c r="I256" s="211">
        <v>5.0000000000000017E-2</v>
      </c>
      <c r="J256" s="211">
        <v>2.5000000000000019E-2</v>
      </c>
      <c r="K256" s="211">
        <v>0</v>
      </c>
      <c r="L256" s="212">
        <v>0</v>
      </c>
      <c r="M256" s="226" t="str">
        <v>Guess</v>
      </c>
    </row>
    <row r="257" spans="1:13" x14ac:dyDescent="0.35">
      <c r="A257" s="209" t="str">
        <v>World</v>
      </c>
      <c r="B257" s="209" t="str">
        <v>Charging</v>
      </c>
      <c r="C257" s="209" t="str">
        <v>Extra stop overhead</v>
      </c>
      <c r="D257" s="209" t="str">
        <v>h</v>
      </c>
      <c r="E257" s="210">
        <v>0.25</v>
      </c>
      <c r="F257" s="211">
        <v>0.21468350642499998</v>
      </c>
      <c r="G257" s="211">
        <v>0.18435603172373205</v>
      </c>
      <c r="H257" s="211">
        <v>0.15831279728419731</v>
      </c>
      <c r="I257" s="211">
        <v>0.13594858573168678</v>
      </c>
      <c r="J257" s="211">
        <v>0.11674367631359295</v>
      </c>
      <c r="K257" s="211">
        <v>0.1002517671357894</v>
      </c>
      <c r="L257" s="212">
        <v>-0.03</v>
      </c>
      <c r="M257" s="226" t="str">
        <v>Guess. Getting to the charger, plugging in, paying, battery conditioning, will get smoother.</v>
      </c>
    </row>
    <row r="258" spans="1:13" x14ac:dyDescent="0.35">
      <c r="A258" s="209" t="str">
        <v>World</v>
      </c>
      <c r="B258" s="209" t="str">
        <v>CO₂</v>
      </c>
      <c r="C258" s="209" t="str">
        <v>SCC</v>
      </c>
      <c r="D258" s="209" t="str">
        <v>euro per kg</v>
      </c>
      <c r="E258" s="209">
        <v>0.08</v>
      </c>
      <c r="F258" s="220">
        <v>0.16500000000000001</v>
      </c>
      <c r="G258" s="220">
        <v>0.25</v>
      </c>
      <c r="H258" s="220">
        <v>0.38750000000000001</v>
      </c>
      <c r="I258" s="220">
        <v>0.52500000000000002</v>
      </c>
      <c r="J258" s="220">
        <v>0.66250000000000009</v>
      </c>
      <c r="K258" s="220">
        <v>0.8</v>
      </c>
      <c r="L258" s="212">
        <v>0</v>
      </c>
      <c r="M258" s="226" t="str">
        <v>https://www.eib.org/attachments/lucalli/20240105_eib_sasb_report_2023_en.pdf</v>
      </c>
    </row>
    <row r="259" spans="1:13" x14ac:dyDescent="0.35">
      <c r="A259" s="209" t="str">
        <v>World</v>
      </c>
      <c r="B259" s="209" t="str">
        <v>CO₂</v>
      </c>
      <c r="C259" s="209" t="str">
        <v>Tax</v>
      </c>
      <c r="D259" s="209" t="str">
        <v>ratio of SCC</v>
      </c>
      <c r="E259" s="227">
        <v>0.7</v>
      </c>
      <c r="F259" s="224">
        <v>0.75</v>
      </c>
      <c r="G259" s="224">
        <v>0.8</v>
      </c>
      <c r="H259" s="224">
        <v>0.85000000000000009</v>
      </c>
      <c r="I259" s="224">
        <v>0.90000000000000013</v>
      </c>
      <c r="J259" s="224">
        <v>0.95000000000000018</v>
      </c>
      <c r="K259" s="224">
        <v>1.0000000000000002</v>
      </c>
      <c r="L259" s="212">
        <v>0.05</v>
      </c>
      <c r="M259" s="226" t="str">
        <v>To match current CO₂ tax.</v>
      </c>
    </row>
    <row r="260" spans="1:13" x14ac:dyDescent="0.35">
      <c r="A260" s="209" t="str">
        <v>World</v>
      </c>
      <c r="B260" s="209" t="str">
        <v>FossilDiesel</v>
      </c>
      <c r="C260" s="209" t="str">
        <v>Price</v>
      </c>
      <c r="D260" s="209" t="str">
        <v>euro per liter</v>
      </c>
      <c r="E260" s="224">
        <v>0.6</v>
      </c>
      <c r="F260" s="224">
        <v>0.63687443035729918</v>
      </c>
      <c r="G260" s="224">
        <v>0.67601506673822387</v>
      </c>
      <c r="H260" s="224">
        <v>0.71756118423642989</v>
      </c>
      <c r="I260" s="224">
        <v>0.76166061742847546</v>
      </c>
      <c r="J260" s="224">
        <v>0.8084702864172485</v>
      </c>
      <c r="K260" s="224">
        <v>0.85815675520464607</v>
      </c>
      <c r="L260" s="212">
        <v>1.2E-2</v>
      </c>
      <c r="M260" s="226" t="str">
        <v>Approximate product cost in Sweden in april 2023, estimated from product costs of FAME and HVO and blend ratios. Highly unreliable forecast.</v>
      </c>
    </row>
    <row r="261" spans="1:13" x14ac:dyDescent="0.35">
      <c r="A261" s="209" t="str">
        <v>World</v>
      </c>
      <c r="B261" s="209" t="str">
        <v>RenewableDiesel</v>
      </c>
      <c r="C261" s="209" t="str">
        <v>Price</v>
      </c>
      <c r="D261" s="209" t="str">
        <v>euro per liter</v>
      </c>
      <c r="E261" s="211">
        <v>1.5</v>
      </c>
      <c r="F261" s="211">
        <v>1.5</v>
      </c>
      <c r="G261" s="211">
        <v>1.592186075893248</v>
      </c>
      <c r="H261" s="211">
        <v>1.6900376668455597</v>
      </c>
      <c r="I261" s="211">
        <v>1.7939029605910748</v>
      </c>
      <c r="J261" s="211">
        <v>1.9041515435711887</v>
      </c>
      <c r="K261" s="211">
        <v>2.0211757160431212</v>
      </c>
      <c r="L261" s="222">
        <v>1.2E-2</v>
      </c>
      <c r="M261" s="226" t="str">
        <v>alliance.eu/efuels/costs-outlook), which is likely a biased source.</v>
      </c>
    </row>
    <row r="262" spans="1:13" x14ac:dyDescent="0.35">
      <c r="A262" s="209" t="str">
        <v>World</v>
      </c>
      <c r="B262" s="209" t="str">
        <v>RenewableDiesel</v>
      </c>
      <c r="C262" s="209" t="str">
        <v>Supply cap</v>
      </c>
      <c r="D262" s="209" t="str">
        <v>liter per year</v>
      </c>
      <c r="E262" s="238">
        <v>175000000</v>
      </c>
      <c r="F262" s="238">
        <v>193214140.56</v>
      </c>
      <c r="G262" s="238">
        <v>213324023.49908251</v>
      </c>
      <c r="H262" s="238">
        <v>235526959.20672262</v>
      </c>
      <c r="I262" s="238">
        <v>260040794.29621199</v>
      </c>
      <c r="J262" s="238">
        <v>287106049.03132766</v>
      </c>
      <c r="K262" s="238">
        <v>316988277.21808684</v>
      </c>
      <c r="L262" s="222">
        <v>0.02</v>
      </c>
      <c r="M262" s="226" t="str">
        <v>"Blend guess" ratio of total fuel used in 2020 according to the simulation.</v>
      </c>
    </row>
    <row r="263" spans="1:13" x14ac:dyDescent="0.35">
      <c r="A263" s="209" t="str">
        <v>World</v>
      </c>
      <c r="B263" s="209" t="str">
        <v>RenewableDiesel</v>
      </c>
      <c r="C263" s="209" t="str">
        <v>Blend guess</v>
      </c>
      <c r="D263" s="209" t="str">
        <v>ratio</v>
      </c>
      <c r="E263" s="210">
        <v>0.05</v>
      </c>
      <c r="F263" s="211">
        <v>0.06</v>
      </c>
      <c r="G263" s="211">
        <v>0.08</v>
      </c>
      <c r="H263" s="211">
        <v>0.28812153750000002</v>
      </c>
      <c r="I263" s="211">
        <v>0.44916201590069138</v>
      </c>
      <c r="J263" s="211">
        <v>0.57377206825302696</v>
      </c>
      <c r="K263" s="211">
        <v>0.67019295138414114</v>
      </c>
      <c r="L263" s="222">
        <v>0.05</v>
      </c>
      <c r="M263" s="226" t="str">
        <v>https://www.energimyndigheten.se/globalassets/nyheter/2020/er-2020_26-drivmedel-2019.pdf</v>
      </c>
    </row>
    <row r="264" spans="1:13" x14ac:dyDescent="0.35">
      <c r="A264" s="209" t="str">
        <v>World</v>
      </c>
      <c r="B264" s="209" t="str">
        <v>FossilDiesel</v>
      </c>
      <c r="C264" s="209" t="str">
        <v>Emissions</v>
      </c>
      <c r="D264" s="209" t="str">
        <v>kg CO₂ per liter</v>
      </c>
      <c r="E264" s="210">
        <v>3.23</v>
      </c>
      <c r="F264" s="211">
        <v>3.23</v>
      </c>
      <c r="G264" s="211">
        <v>3.23</v>
      </c>
      <c r="H264" s="211">
        <v>3.23</v>
      </c>
      <c r="I264" s="211">
        <v>3.23</v>
      </c>
      <c r="J264" s="211">
        <v>3.23</v>
      </c>
      <c r="K264" s="211">
        <v>3.23</v>
      </c>
      <c r="L264" s="222">
        <v>0</v>
      </c>
      <c r="M264" s="226" t="str">
        <v>Auke Hoekstra (2020) "Electric trucks: economically and environmentally desirable but misunderstood"</v>
      </c>
    </row>
    <row r="265" spans="1:13" x14ac:dyDescent="0.35">
      <c r="A265" s="209" t="str">
        <v>World</v>
      </c>
      <c r="B265" s="209" t="str">
        <v>RenewableDiesel</v>
      </c>
      <c r="C265" s="209" t="str">
        <v>Emissions</v>
      </c>
      <c r="D265" s="209" t="str">
        <v>kg CO₂ per liter</v>
      </c>
      <c r="E265" s="211">
        <v>0.67</v>
      </c>
      <c r="F265" s="211">
        <v>0.51843322812500003</v>
      </c>
      <c r="G265" s="211">
        <v>0.40115374928971387</v>
      </c>
      <c r="H265" s="211">
        <v>0.31040512420703475</v>
      </c>
      <c r="I265" s="211">
        <v>0.24018556801372326</v>
      </c>
      <c r="J265" s="211">
        <v>0.18585101399162879</v>
      </c>
      <c r="K265" s="211">
        <v>0.14380797184176813</v>
      </c>
      <c r="L265" s="222">
        <v>-0.05</v>
      </c>
      <c r="M265" s="226" t="str">
        <v>2020 value from https://www.miljofordon.se/bilar/miljoepaaverkan/ Most of biodiesel's emission is from use of fossil oil, which is expected to gradually be displaced by sustainable sources.</v>
      </c>
    </row>
    <row r="266" spans="1:13" x14ac:dyDescent="0.35">
      <c r="A266" s="209" t="str">
        <v>World</v>
      </c>
      <c r="B266" s="209" t="str">
        <v>Diesel</v>
      </c>
      <c r="C266" s="209" t="str">
        <v>Price</v>
      </c>
      <c r="D266" s="209" t="str">
        <v>euro per liter</v>
      </c>
      <c r="E266" s="211">
        <v>0.64500000000000002</v>
      </c>
      <c r="F266" s="211">
        <v>0.68866196453586115</v>
      </c>
      <c r="G266" s="211">
        <v>0.74930874747062581</v>
      </c>
      <c r="H266" s="211">
        <v>0.99775260358836437</v>
      </c>
      <c r="I266" s="211">
        <v>1.2253046691814418</v>
      </c>
      <c r="J266" s="211">
        <v>1.4371415874805415</v>
      </c>
      <c r="K266" s="211">
        <v>1.6376038650847007</v>
      </c>
      <c r="L266" s="222" t="str">
        <v>n/a</v>
      </c>
      <c r="M266" s="226" t="str">
        <v/>
      </c>
    </row>
    <row r="267" spans="1:13" x14ac:dyDescent="0.35">
      <c r="A267" s="209" t="str">
        <v>World</v>
      </c>
      <c r="B267" s="209" t="str">
        <v>Diesel</v>
      </c>
      <c r="C267" s="209" t="str">
        <v>Emissions</v>
      </c>
      <c r="D267" s="209" t="str">
        <v>kg CO₂ per liter</v>
      </c>
      <c r="E267" s="211">
        <v>3.1019999999999999</v>
      </c>
      <c r="F267" s="211">
        <v>3.0673059936875</v>
      </c>
      <c r="G267" s="211">
        <v>3.003692299943177</v>
      </c>
      <c r="H267" s="211">
        <v>2.3888018355094096</v>
      </c>
      <c r="I267" s="211">
        <v>1.8870889225600636</v>
      </c>
      <c r="J267" s="211">
        <v>1.4833523402276221</v>
      </c>
      <c r="K267" s="211">
        <v>1.161655856110426</v>
      </c>
      <c r="L267" s="222" t="str">
        <v>n/a</v>
      </c>
      <c r="M267" s="226" t="str">
        <v/>
      </c>
    </row>
    <row r="268" spans="1:13" x14ac:dyDescent="0.35">
      <c r="A268" s="209" t="str">
        <v>World</v>
      </c>
      <c r="B268" s="209" t="str">
        <v>Diesel</v>
      </c>
      <c r="C268" s="209" t="str">
        <v>CO₂ tax</v>
      </c>
      <c r="D268" s="209" t="str">
        <v>euro per liter</v>
      </c>
      <c r="E268" s="211">
        <v>0.17371199999999998</v>
      </c>
      <c r="F268" s="211">
        <v>0.37957911671882816</v>
      </c>
      <c r="G268" s="211">
        <v>0.6007384599886354</v>
      </c>
      <c r="H268" s="211">
        <v>0.78681160457091182</v>
      </c>
      <c r="I268" s="211">
        <v>0.89164951590963026</v>
      </c>
      <c r="J268" s="211">
        <v>0.93358487913076005</v>
      </c>
      <c r="K268" s="211">
        <v>0.92932468488834097</v>
      </c>
      <c r="L268" s="222" t="str">
        <v>n/a</v>
      </c>
      <c r="M268" s="226" t="str">
        <v>CO₂ tax on diesel in Sweden in 2022.</v>
      </c>
    </row>
    <row r="269" spans="1:13" x14ac:dyDescent="0.35">
      <c r="A269" s="209" t="str">
        <v>World</v>
      </c>
      <c r="B269" s="209" t="str">
        <v>Diesel</v>
      </c>
      <c r="C269" s="209" t="str">
        <v>Pollution tax</v>
      </c>
      <c r="D269" s="209" t="str">
        <v>euro per liter</v>
      </c>
      <c r="E269" s="223">
        <v>0.02</v>
      </c>
      <c r="F269" s="223">
        <v>3.2210200000000008E-2</v>
      </c>
      <c r="G269" s="223">
        <v>5.1874849202000035E-2</v>
      </c>
      <c r="H269" s="223">
        <v>8.3544963388313104E-2</v>
      </c>
      <c r="I269" s="223">
        <v>0.13454999898651218</v>
      </c>
      <c r="J269" s="223">
        <v>0.21669411886776782</v>
      </c>
      <c r="K269" s="223">
        <v>0.34898804537772893</v>
      </c>
      <c r="L269" s="222">
        <v>0.1</v>
      </c>
      <c r="M269" s="226" t="str">
        <v>Guess</v>
      </c>
    </row>
    <row r="270" spans="1:13" x14ac:dyDescent="0.35">
      <c r="A270" s="209" t="str">
        <v>World</v>
      </c>
      <c r="B270" s="209" t="str">
        <v>Diesel</v>
      </c>
      <c r="C270" s="209" t="str">
        <v>Road tax</v>
      </c>
      <c r="D270" s="209" t="str">
        <v>euro per liter</v>
      </c>
      <c r="E270" s="211">
        <v>0.4</v>
      </c>
      <c r="F270" s="211">
        <v>0.4</v>
      </c>
      <c r="G270" s="211">
        <v>0.4</v>
      </c>
      <c r="H270" s="211">
        <v>0.4</v>
      </c>
      <c r="I270" s="211">
        <v>0.4</v>
      </c>
      <c r="J270" s="211">
        <v>0.4</v>
      </c>
      <c r="K270" s="211">
        <v>0.4</v>
      </c>
      <c r="L270" s="222">
        <v>0</v>
      </c>
      <c r="M270" s="226" t="str">
        <v>Swedish energy tax has ranged between 1.5 and 2.5 SEK/liter. German energy tax is approx €0.5/liter.</v>
      </c>
    </row>
    <row r="271" spans="1:13" x14ac:dyDescent="0.35">
      <c r="A271" s="209" t="str">
        <v>World</v>
      </c>
      <c r="B271" s="209" t="str">
        <v>Electricity</v>
      </c>
      <c r="C271" s="209" t="str">
        <v>Conversion ratio</v>
      </c>
      <c r="D271" s="209" t="str">
        <v>kWh per liter</v>
      </c>
      <c r="E271" s="227">
        <v>4.163731764705882</v>
      </c>
      <c r="F271" s="224">
        <v>4.163731764705882</v>
      </c>
      <c r="G271" s="224">
        <v>4.163731764705882</v>
      </c>
      <c r="H271" s="224">
        <v>4.163731764705882</v>
      </c>
      <c r="I271" s="224">
        <v>4.163731764705882</v>
      </c>
      <c r="J271" s="224">
        <v>4.163731764705882</v>
      </c>
      <c r="K271" s="224">
        <v>4.163731764705882</v>
      </c>
      <c r="L271" s="222" t="str">
        <v>n/a</v>
      </c>
      <c r="M271" s="226" t="str">
        <v/>
      </c>
    </row>
    <row r="272" spans="1:13" x14ac:dyDescent="0.35">
      <c r="A272" s="209" t="str">
        <v>World</v>
      </c>
      <c r="B272" s="209" t="str">
        <v>Electricity</v>
      </c>
      <c r="C272" s="209" t="str">
        <v>Road tax</v>
      </c>
      <c r="D272" s="209" t="str">
        <v>euro per kWh</v>
      </c>
      <c r="E272" s="221">
        <v>9.6067667804785997E-2</v>
      </c>
      <c r="F272" s="223">
        <v>9.6067667804785997E-2</v>
      </c>
      <c r="G272" s="223">
        <v>9.6067667804785997E-2</v>
      </c>
      <c r="H272" s="223">
        <v>9.6067667804785997E-2</v>
      </c>
      <c r="I272" s="223">
        <v>9.6067667804785997E-2</v>
      </c>
      <c r="J272" s="223">
        <v>9.6067667804785997E-2</v>
      </c>
      <c r="K272" s="223">
        <v>9.6067667804785997E-2</v>
      </c>
      <c r="L272" s="222" t="str">
        <v>n/a</v>
      </c>
      <c r="M272" s="226" t="str">
        <v/>
      </c>
    </row>
    <row r="273" spans="1:13" x14ac:dyDescent="0.35">
      <c r="A273" s="209" t="str">
        <v>SE12</v>
      </c>
      <c r="B273" s="209" t="str">
        <v>SE12</v>
      </c>
      <c r="C273" s="209" t="str">
        <v>Price min</v>
      </c>
      <c r="D273" s="209" t="str">
        <v>euro per kWh</v>
      </c>
      <c r="E273" s="221">
        <v>7.1295287671232874E-2</v>
      </c>
      <c r="F273" s="223">
        <v>7.1295287671232874E-2</v>
      </c>
      <c r="G273" s="223">
        <v>7.1295287671232874E-2</v>
      </c>
      <c r="H273" s="223">
        <v>7.1295287671232874E-2</v>
      </c>
      <c r="I273" s="223">
        <v>7.1295287671232874E-2</v>
      </c>
      <c r="J273" s="223">
        <v>7.1295287671232874E-2</v>
      </c>
      <c r="K273" s="223">
        <v>7.1295287671232874E-2</v>
      </c>
      <c r="L273" s="222">
        <v>0</v>
      </c>
      <c r="M273" s="226" t="str">
        <v>Values from OtherRegion</v>
      </c>
    </row>
    <row r="274" spans="1:13" x14ac:dyDescent="0.35">
      <c r="A274" s="209" t="str">
        <v>SE12</v>
      </c>
      <c r="B274" s="209" t="str">
        <v>SE12</v>
      </c>
      <c r="C274" s="209" t="str">
        <v>Price max</v>
      </c>
      <c r="D274" s="209" t="str">
        <v>euro per kWh</v>
      </c>
      <c r="E274" s="223">
        <v>0.12525539726027404</v>
      </c>
      <c r="F274" s="223">
        <v>0.12525539726027404</v>
      </c>
      <c r="G274" s="223">
        <v>0.12525539726027404</v>
      </c>
      <c r="H274" s="223">
        <v>0.12525539726027404</v>
      </c>
      <c r="I274" s="223">
        <v>0.12525539726027404</v>
      </c>
      <c r="J274" s="223">
        <v>0.12525539726027404</v>
      </c>
      <c r="K274" s="223">
        <v>0.12525539726027404</v>
      </c>
      <c r="L274" s="222">
        <v>0</v>
      </c>
      <c r="M274" s="226" t="str">
        <v>Values from OtherRegion</v>
      </c>
    </row>
    <row r="275" spans="1:13" x14ac:dyDescent="0.35">
      <c r="A275" s="209" t="str">
        <v>SE12</v>
      </c>
      <c r="B275" s="209" t="str">
        <v>SE12</v>
      </c>
      <c r="C275" s="209" t="str">
        <v>CO₂ emissions</v>
      </c>
      <c r="D275" s="209" t="str">
        <v>kg per kWh</v>
      </c>
      <c r="E275" s="221">
        <v>0.26500000000000001</v>
      </c>
      <c r="F275" s="223">
        <v>0.17465660364800004</v>
      </c>
      <c r="G275" s="223">
        <v>0.11511294036926258</v>
      </c>
      <c r="H275" s="223">
        <v>7.5868812078604353E-2</v>
      </c>
      <c r="I275" s="223">
        <v>5.0003732228141126E-2</v>
      </c>
      <c r="J275" s="223">
        <v>3.2956536002608186E-2</v>
      </c>
      <c r="K275" s="223">
        <v>2.1721043947994647E-2</v>
      </c>
      <c r="L275" s="222">
        <v>-0.08</v>
      </c>
      <c r="M275" s="226" t="str">
        <v>Values from OtherRegion</v>
      </c>
    </row>
    <row r="276" spans="1:13" x14ac:dyDescent="0.35">
      <c r="A276" s="209" t="str">
        <v>SE12</v>
      </c>
      <c r="B276" s="209" t="str">
        <v>SE12</v>
      </c>
      <c r="C276" s="209" t="str">
        <v>CO₂ tax</v>
      </c>
      <c r="D276" s="209" t="str">
        <v>euro per kWh</v>
      </c>
      <c r="E276" s="221">
        <v>1.4840000000000001E-2</v>
      </c>
      <c r="F276" s="223">
        <v>2.1613754701440006E-2</v>
      </c>
      <c r="G276" s="223">
        <v>2.3022588073852518E-2</v>
      </c>
      <c r="H276" s="223">
        <v>2.4989289978390311E-2</v>
      </c>
      <c r="I276" s="223">
        <v>2.362676347779669E-2</v>
      </c>
      <c r="J276" s="223">
        <v>2.0742019846641532E-2</v>
      </c>
      <c r="K276" s="223">
        <v>1.737683515839572E-2</v>
      </c>
      <c r="L276" s="222" t="str">
        <v>n/a</v>
      </c>
      <c r="M276" s="226" t="str">
        <v/>
      </c>
    </row>
    <row r="277" spans="1:13" x14ac:dyDescent="0.35">
      <c r="A277" s="209" t="str">
        <v>SE34</v>
      </c>
      <c r="B277" s="209" t="str">
        <v>SE34</v>
      </c>
      <c r="C277" s="209" t="str">
        <v>Price min</v>
      </c>
      <c r="D277" s="209" t="str">
        <v>euro per kWh</v>
      </c>
      <c r="E277" s="221">
        <v>7.1295287671232874E-2</v>
      </c>
      <c r="F277" s="223">
        <v>7.1295287671232874E-2</v>
      </c>
      <c r="G277" s="223">
        <v>7.1295287671232874E-2</v>
      </c>
      <c r="H277" s="223">
        <v>7.1295287671232874E-2</v>
      </c>
      <c r="I277" s="223">
        <v>7.1295287671232874E-2</v>
      </c>
      <c r="J277" s="223">
        <v>7.1295287671232874E-2</v>
      </c>
      <c r="K277" s="223">
        <v>7.1295287671232874E-2</v>
      </c>
      <c r="L277" s="222">
        <v>0</v>
      </c>
      <c r="M277" s="226" t="str">
        <v>Values from OtherRegion</v>
      </c>
    </row>
    <row r="278" spans="1:13" x14ac:dyDescent="0.35">
      <c r="A278" s="209" t="str">
        <v>SE34</v>
      </c>
      <c r="B278" s="209" t="str">
        <v>SE34</v>
      </c>
      <c r="C278" s="209" t="str">
        <v>Price max</v>
      </c>
      <c r="D278" s="209" t="str">
        <v>euro per kWh</v>
      </c>
      <c r="E278" s="223">
        <v>0.12525539726027404</v>
      </c>
      <c r="F278" s="223">
        <v>0.12525539726027404</v>
      </c>
      <c r="G278" s="223">
        <v>0.12525539726027404</v>
      </c>
      <c r="H278" s="223">
        <v>0.12525539726027404</v>
      </c>
      <c r="I278" s="223">
        <v>0.12525539726027404</v>
      </c>
      <c r="J278" s="223">
        <v>0.12525539726027404</v>
      </c>
      <c r="K278" s="223">
        <v>0.12525539726027404</v>
      </c>
      <c r="L278" s="209">
        <v>0</v>
      </c>
      <c r="M278" s="226" t="str">
        <v>Values from OtherRegion</v>
      </c>
    </row>
    <row r="279" spans="1:13" x14ac:dyDescent="0.35">
      <c r="A279" s="209" t="str">
        <v>SE34</v>
      </c>
      <c r="B279" s="209" t="str">
        <v>SE34</v>
      </c>
      <c r="C279" s="209" t="str">
        <v>CO₂ emissions</v>
      </c>
      <c r="D279" s="209" t="str">
        <v>kg per kWh</v>
      </c>
      <c r="E279" s="221">
        <v>0.26500000000000001</v>
      </c>
      <c r="F279" s="223">
        <v>0.17465660364800004</v>
      </c>
      <c r="G279" s="223">
        <v>0.11511294036926258</v>
      </c>
      <c r="H279" s="223">
        <v>7.5868812078604353E-2</v>
      </c>
      <c r="I279" s="223">
        <v>5.0003732228141126E-2</v>
      </c>
      <c r="J279" s="223">
        <v>3.2956536002608186E-2</v>
      </c>
      <c r="K279" s="223">
        <v>2.1721043947994647E-2</v>
      </c>
      <c r="L279" s="212">
        <v>-0.08</v>
      </c>
      <c r="M279" s="209" t="str">
        <v>Values from OtherRegion</v>
      </c>
    </row>
    <row r="280" spans="1:13" x14ac:dyDescent="0.35">
      <c r="A280" s="209" t="str">
        <v>SE34</v>
      </c>
      <c r="B280" s="209" t="str">
        <v>SE34</v>
      </c>
      <c r="C280" s="209" t="str">
        <v>CO₂ tax</v>
      </c>
      <c r="D280" s="209" t="str">
        <v>euro per kWh</v>
      </c>
      <c r="E280" s="223">
        <v>1.4840000000000001E-2</v>
      </c>
      <c r="F280" s="223">
        <v>2.1613754701440006E-2</v>
      </c>
      <c r="G280" s="223">
        <v>2.3022588073852518E-2</v>
      </c>
      <c r="H280" s="223">
        <v>2.4989289978390311E-2</v>
      </c>
      <c r="I280" s="223">
        <v>2.362676347779669E-2</v>
      </c>
      <c r="J280" s="223">
        <v>2.0742019846641532E-2</v>
      </c>
      <c r="K280" s="223">
        <v>1.737683515839572E-2</v>
      </c>
      <c r="L280" s="209" t="str">
        <v>n/a</v>
      </c>
      <c r="M280" s="209" t="str">
        <v/>
      </c>
    </row>
    <row r="281" spans="1:13" x14ac:dyDescent="0.35">
      <c r="A281" s="209" t="str">
        <v>OtherRegion</v>
      </c>
      <c r="B281" s="209" t="str">
        <v>OtherRegion</v>
      </c>
      <c r="C281" s="209" t="str">
        <v>Price min</v>
      </c>
      <c r="D281" s="209" t="str">
        <v>euro per kWh</v>
      </c>
      <c r="E281" s="221">
        <v>7.1295287671232874E-2</v>
      </c>
      <c r="F281" s="223">
        <v>7.1295287671232874E-2</v>
      </c>
      <c r="G281" s="223">
        <v>7.1295287671232874E-2</v>
      </c>
      <c r="H281" s="223">
        <v>7.1295287671232874E-2</v>
      </c>
      <c r="I281" s="223">
        <v>7.1295287671232874E-2</v>
      </c>
      <c r="J281" s="223">
        <v>7.1295287671232874E-2</v>
      </c>
      <c r="K281" s="223">
        <v>7.1295287671232874E-2</v>
      </c>
      <c r="L281" s="209">
        <v>0</v>
      </c>
      <c r="M281" s="209" t="str">
        <v>Nordpool spot prices (DE-LU), min average price per hour, 2021</v>
      </c>
    </row>
    <row r="282" spans="1:13" x14ac:dyDescent="0.35">
      <c r="A282" s="209" t="str">
        <v>OtherRegion</v>
      </c>
      <c r="B282" s="209" t="str">
        <v>OtherRegion</v>
      </c>
      <c r="C282" s="209" t="str">
        <v>Price max</v>
      </c>
      <c r="D282" s="209" t="str">
        <v>euro per kWh</v>
      </c>
      <c r="E282" s="221">
        <v>0.12525539726027404</v>
      </c>
      <c r="F282" s="223">
        <v>0.12525539726027404</v>
      </c>
      <c r="G282" s="223">
        <v>0.12525539726027404</v>
      </c>
      <c r="H282" s="223">
        <v>0.12525539726027404</v>
      </c>
      <c r="I282" s="223">
        <v>0.12525539726027404</v>
      </c>
      <c r="J282" s="223">
        <v>0.12525539726027404</v>
      </c>
      <c r="K282" s="223">
        <v>0.12525539726027404</v>
      </c>
      <c r="L282" s="209">
        <v>0</v>
      </c>
      <c r="M282" s="209" t="str">
        <v>Nordpool spot prices (DE-LU), max average price per hour, 2021</v>
      </c>
    </row>
    <row r="283" spans="1:13" x14ac:dyDescent="0.35">
      <c r="A283" s="209" t="str">
        <v>OtherRegion</v>
      </c>
      <c r="B283" s="209" t="str">
        <v>OtherRegion</v>
      </c>
      <c r="C283" s="209" t="str">
        <v>CO₂ emissions</v>
      </c>
      <c r="D283" s="209" t="str">
        <v>kg per kWh</v>
      </c>
      <c r="E283" s="221">
        <v>0.26500000000000001</v>
      </c>
      <c r="F283" s="223">
        <v>0.17465660364800004</v>
      </c>
      <c r="G283" s="223">
        <v>0.11511294036926258</v>
      </c>
      <c r="H283" s="223">
        <v>7.5868812078604353E-2</v>
      </c>
      <c r="I283" s="223">
        <v>5.0003732228141126E-2</v>
      </c>
      <c r="J283" s="223">
        <v>3.2956536002608186E-2</v>
      </c>
      <c r="K283" s="223">
        <v>2.1721043947994647E-2</v>
      </c>
      <c r="L283" s="212">
        <v>-0.08</v>
      </c>
      <c r="M283" s="209" t="str">
        <v>Greenhouse gas emission intensity of electricity generation in Europe (https://www.eea.europa.eu/ims/greenhouse-gas-emission-intensity-of-1)</v>
      </c>
    </row>
    <row r="284" spans="1:13" x14ac:dyDescent="0.35">
      <c r="A284" s="209" t="str">
        <v>OtherRegion</v>
      </c>
      <c r="B284" s="209" t="str">
        <v>OtherRegion</v>
      </c>
      <c r="C284" s="209" t="str">
        <v>CO₂ tax</v>
      </c>
      <c r="D284" s="209" t="str">
        <v>euro per kWh</v>
      </c>
      <c r="E284" s="223">
        <v>1.4840000000000001E-2</v>
      </c>
      <c r="F284" s="223">
        <v>2.1613754701440006E-2</v>
      </c>
      <c r="G284" s="223">
        <v>2.3022588073852518E-2</v>
      </c>
      <c r="H284" s="223">
        <v>2.4989289978390311E-2</v>
      </c>
      <c r="I284" s="223">
        <v>2.362676347779669E-2</v>
      </c>
      <c r="J284" s="223">
        <v>2.0742019846641532E-2</v>
      </c>
      <c r="K284" s="223">
        <v>1.737683515839572E-2</v>
      </c>
      <c r="L284" s="209" t="str">
        <v>n/a</v>
      </c>
      <c r="M284" s="209" t="str">
        <v/>
      </c>
    </row>
    <row r="288" spans="1:13" x14ac:dyDescent="0.35">
      <c r="A288" s="209" t="s">
        <v>599</v>
      </c>
      <c r="H288" s="230"/>
    </row>
    <row r="289" spans="3:11" x14ac:dyDescent="0.35">
      <c r="C289" s="208" t="str" cm="1">
        <f t="array" ref="C289:G314">infra!D49:H74</f>
        <v>Hour of day</v>
      </c>
      <c r="D289" s="208" t="str">
        <v>Depot</v>
      </c>
      <c r="E289" s="208" t="str">
        <v>Destination</v>
      </c>
      <c r="F289" s="208" t="str">
        <v>Rest Stop</v>
      </c>
      <c r="G289" s="208" t="str">
        <v>ERS</v>
      </c>
      <c r="H289" s="231"/>
      <c r="I289" s="208" t="str" cm="1">
        <f t="array" ref="I289:J297">infra!J49:K57</f>
        <v>Day of week</v>
      </c>
      <c r="J289" s="208" t="str">
        <v>Utilization</v>
      </c>
    </row>
    <row r="290" spans="3:11" x14ac:dyDescent="0.35">
      <c r="C290" s="209">
        <v>0</v>
      </c>
      <c r="D290" s="212">
        <v>1</v>
      </c>
      <c r="E290" s="212">
        <v>0</v>
      </c>
      <c r="F290" s="212">
        <v>0.15</v>
      </c>
      <c r="G290" s="212">
        <v>0.15</v>
      </c>
      <c r="H290" s="231"/>
      <c r="I290" s="209" t="str">
        <v>Mon</v>
      </c>
      <c r="J290" s="212">
        <v>1</v>
      </c>
    </row>
    <row r="291" spans="3:11" x14ac:dyDescent="0.35">
      <c r="C291" s="209">
        <v>1</v>
      </c>
      <c r="D291" s="212">
        <v>1</v>
      </c>
      <c r="E291" s="212">
        <v>0</v>
      </c>
      <c r="F291" s="212">
        <v>0.15</v>
      </c>
      <c r="G291" s="212">
        <v>0.15</v>
      </c>
      <c r="H291" s="231"/>
      <c r="I291" s="209" t="str">
        <v>Tue</v>
      </c>
      <c r="J291" s="212">
        <v>1</v>
      </c>
    </row>
    <row r="292" spans="3:11" x14ac:dyDescent="0.35">
      <c r="C292" s="209">
        <v>2</v>
      </c>
      <c r="D292" s="212">
        <v>1</v>
      </c>
      <c r="E292" s="212">
        <v>0</v>
      </c>
      <c r="F292" s="212">
        <v>0.15</v>
      </c>
      <c r="G292" s="212">
        <v>0.15</v>
      </c>
      <c r="H292" s="231"/>
      <c r="I292" s="209" t="str">
        <v>Wed</v>
      </c>
      <c r="J292" s="212">
        <v>1</v>
      </c>
    </row>
    <row r="293" spans="3:11" x14ac:dyDescent="0.35">
      <c r="C293" s="209">
        <v>3</v>
      </c>
      <c r="D293" s="212">
        <v>1</v>
      </c>
      <c r="E293" s="212">
        <v>0</v>
      </c>
      <c r="F293" s="212">
        <v>0.15</v>
      </c>
      <c r="G293" s="212">
        <v>0.15</v>
      </c>
      <c r="H293" s="231"/>
      <c r="I293" s="209" t="str">
        <v>Thu</v>
      </c>
      <c r="J293" s="212">
        <v>1</v>
      </c>
    </row>
    <row r="294" spans="3:11" x14ac:dyDescent="0.35">
      <c r="C294" s="209">
        <v>4</v>
      </c>
      <c r="D294" s="212">
        <v>1</v>
      </c>
      <c r="E294" s="212">
        <v>0</v>
      </c>
      <c r="F294" s="212">
        <v>0.2</v>
      </c>
      <c r="G294" s="212">
        <v>0.2</v>
      </c>
      <c r="H294" s="231"/>
      <c r="I294" s="209" t="str">
        <v>Fri</v>
      </c>
      <c r="J294" s="212">
        <v>1</v>
      </c>
    </row>
    <row r="295" spans="3:11" x14ac:dyDescent="0.35">
      <c r="C295" s="209">
        <v>5</v>
      </c>
      <c r="D295" s="212">
        <v>0.85</v>
      </c>
      <c r="E295" s="212">
        <v>0</v>
      </c>
      <c r="F295" s="212">
        <v>0.3</v>
      </c>
      <c r="G295" s="212">
        <v>0.3</v>
      </c>
      <c r="H295" s="231"/>
      <c r="I295" s="209" t="str">
        <v>Sat</v>
      </c>
      <c r="J295" s="212">
        <v>0.4</v>
      </c>
    </row>
    <row r="296" spans="3:11" x14ac:dyDescent="0.35">
      <c r="C296" s="209">
        <v>6</v>
      </c>
      <c r="D296" s="212">
        <v>0.7</v>
      </c>
      <c r="E296" s="212">
        <v>0</v>
      </c>
      <c r="F296" s="212">
        <v>0.5</v>
      </c>
      <c r="G296" s="212">
        <v>0.5</v>
      </c>
      <c r="H296" s="231"/>
      <c r="I296" s="209" t="str">
        <v>Sun</v>
      </c>
      <c r="J296" s="212">
        <v>0.4</v>
      </c>
    </row>
    <row r="297" spans="3:11" x14ac:dyDescent="0.35">
      <c r="C297" s="209">
        <v>7</v>
      </c>
      <c r="D297" s="212">
        <v>0.3</v>
      </c>
      <c r="E297" s="212">
        <v>0.2</v>
      </c>
      <c r="F297" s="212">
        <v>0.6</v>
      </c>
      <c r="G297" s="212">
        <v>0.6</v>
      </c>
      <c r="H297" s="231"/>
      <c r="I297" s="208" t="str">
        <v>Average</v>
      </c>
      <c r="J297" s="219">
        <v>0.82857142857142863</v>
      </c>
    </row>
    <row r="298" spans="3:11" x14ac:dyDescent="0.35">
      <c r="C298" s="209">
        <v>8</v>
      </c>
      <c r="D298" s="212">
        <v>0.1</v>
      </c>
      <c r="E298" s="212">
        <v>0.5</v>
      </c>
      <c r="F298" s="212">
        <v>0.75</v>
      </c>
      <c r="G298" s="212">
        <v>0.75</v>
      </c>
      <c r="H298" s="235"/>
      <c r="I298" s="236"/>
      <c r="J298" s="236"/>
      <c r="K298" s="232"/>
    </row>
    <row r="299" spans="3:11" x14ac:dyDescent="0.35">
      <c r="C299" s="209">
        <v>9</v>
      </c>
      <c r="D299" s="212">
        <v>0.05</v>
      </c>
      <c r="E299" s="212">
        <v>1</v>
      </c>
      <c r="F299" s="212">
        <v>0.9</v>
      </c>
      <c r="G299" s="212">
        <v>0.9</v>
      </c>
      <c r="H299" s="235"/>
      <c r="I299" s="237"/>
      <c r="J299" s="237"/>
      <c r="K299" s="234"/>
    </row>
    <row r="300" spans="3:11" x14ac:dyDescent="0.35">
      <c r="C300" s="209">
        <v>10</v>
      </c>
      <c r="D300" s="212">
        <v>0.05</v>
      </c>
      <c r="E300" s="212">
        <v>1</v>
      </c>
      <c r="F300" s="212">
        <v>1</v>
      </c>
      <c r="G300" s="212">
        <v>1</v>
      </c>
      <c r="H300" s="231"/>
      <c r="I300" s="208" t="str" cm="1">
        <f t="array" ref="I300:J313">infra!J59:K72</f>
        <v>Month</v>
      </c>
      <c r="J300" s="208" t="str">
        <v>Utilization</v>
      </c>
    </row>
    <row r="301" spans="3:11" x14ac:dyDescent="0.35">
      <c r="C301" s="209">
        <v>11</v>
      </c>
      <c r="D301" s="212">
        <v>0.05</v>
      </c>
      <c r="E301" s="212">
        <v>1</v>
      </c>
      <c r="F301" s="212">
        <v>1</v>
      </c>
      <c r="G301" s="212">
        <v>1</v>
      </c>
      <c r="H301" s="231"/>
      <c r="I301" s="209" t="str">
        <v>Jan</v>
      </c>
      <c r="J301" s="212">
        <v>0.8</v>
      </c>
    </row>
    <row r="302" spans="3:11" x14ac:dyDescent="0.35">
      <c r="C302" s="209">
        <v>12</v>
      </c>
      <c r="D302" s="212">
        <v>0.8</v>
      </c>
      <c r="E302" s="212">
        <v>0.7</v>
      </c>
      <c r="F302" s="212">
        <v>1</v>
      </c>
      <c r="G302" s="212">
        <v>1</v>
      </c>
      <c r="H302" s="231"/>
      <c r="I302" s="209" t="str">
        <v>Feb</v>
      </c>
      <c r="J302" s="212">
        <v>1</v>
      </c>
    </row>
    <row r="303" spans="3:11" x14ac:dyDescent="0.35">
      <c r="C303" s="209">
        <v>13</v>
      </c>
      <c r="D303" s="212">
        <v>0.8</v>
      </c>
      <c r="E303" s="212">
        <v>0.7</v>
      </c>
      <c r="F303" s="212">
        <v>1</v>
      </c>
      <c r="G303" s="212">
        <v>1</v>
      </c>
      <c r="H303" s="231"/>
      <c r="I303" s="209" t="str">
        <v>Mar</v>
      </c>
      <c r="J303" s="212">
        <v>1</v>
      </c>
    </row>
    <row r="304" spans="3:11" x14ac:dyDescent="0.35">
      <c r="C304" s="209">
        <v>14</v>
      </c>
      <c r="D304" s="212">
        <v>0.05</v>
      </c>
      <c r="E304" s="212">
        <v>1</v>
      </c>
      <c r="F304" s="212">
        <v>1</v>
      </c>
      <c r="G304" s="212">
        <v>1</v>
      </c>
      <c r="H304" s="231"/>
      <c r="I304" s="209" t="str">
        <v>Apr</v>
      </c>
      <c r="J304" s="212">
        <v>1</v>
      </c>
    </row>
    <row r="305" spans="3:11" x14ac:dyDescent="0.35">
      <c r="C305" s="209">
        <v>15</v>
      </c>
      <c r="D305" s="212">
        <v>0.05</v>
      </c>
      <c r="E305" s="212">
        <v>1</v>
      </c>
      <c r="F305" s="212">
        <v>0.9</v>
      </c>
      <c r="G305" s="212">
        <v>0.9</v>
      </c>
      <c r="H305" s="231"/>
      <c r="I305" s="209" t="str">
        <v>Maj</v>
      </c>
      <c r="J305" s="212">
        <v>1</v>
      </c>
    </row>
    <row r="306" spans="3:11" x14ac:dyDescent="0.35">
      <c r="C306" s="209">
        <v>16</v>
      </c>
      <c r="D306" s="212">
        <v>0.05</v>
      </c>
      <c r="E306" s="212">
        <v>1</v>
      </c>
      <c r="F306" s="212">
        <v>0.8</v>
      </c>
      <c r="G306" s="212">
        <v>0.8</v>
      </c>
      <c r="H306" s="231"/>
      <c r="I306" s="209" t="str">
        <v>Jun</v>
      </c>
      <c r="J306" s="212">
        <v>0.8</v>
      </c>
    </row>
    <row r="307" spans="3:11" x14ac:dyDescent="0.35">
      <c r="C307" s="209">
        <v>17</v>
      </c>
      <c r="D307" s="212">
        <v>0.3</v>
      </c>
      <c r="E307" s="212">
        <v>0.5</v>
      </c>
      <c r="F307" s="212">
        <v>0.7</v>
      </c>
      <c r="G307" s="212">
        <v>0.7</v>
      </c>
      <c r="H307" s="231"/>
      <c r="I307" s="209" t="str">
        <v>Jul</v>
      </c>
      <c r="J307" s="212">
        <v>0.4</v>
      </c>
    </row>
    <row r="308" spans="3:11" x14ac:dyDescent="0.35">
      <c r="C308" s="209">
        <v>18</v>
      </c>
      <c r="D308" s="212">
        <v>0.7</v>
      </c>
      <c r="E308" s="212">
        <v>0.2</v>
      </c>
      <c r="F308" s="212">
        <v>0.6</v>
      </c>
      <c r="G308" s="212">
        <v>0.6</v>
      </c>
      <c r="H308" s="231"/>
      <c r="I308" s="209" t="str">
        <v>Aug</v>
      </c>
      <c r="J308" s="212">
        <v>0.8</v>
      </c>
    </row>
    <row r="309" spans="3:11" x14ac:dyDescent="0.35">
      <c r="C309" s="209">
        <v>19</v>
      </c>
      <c r="D309" s="212">
        <v>0.8</v>
      </c>
      <c r="E309" s="212">
        <v>0</v>
      </c>
      <c r="F309" s="212">
        <v>0.4</v>
      </c>
      <c r="G309" s="212">
        <v>0.4</v>
      </c>
      <c r="H309" s="231"/>
      <c r="I309" s="209" t="str">
        <v>Sep</v>
      </c>
      <c r="J309" s="212">
        <v>1</v>
      </c>
    </row>
    <row r="310" spans="3:11" x14ac:dyDescent="0.35">
      <c r="C310" s="209">
        <v>20</v>
      </c>
      <c r="D310" s="212">
        <v>0.9</v>
      </c>
      <c r="E310" s="212">
        <v>0</v>
      </c>
      <c r="F310" s="212">
        <v>0.3</v>
      </c>
      <c r="G310" s="212">
        <v>0.3</v>
      </c>
      <c r="H310" s="231"/>
      <c r="I310" s="209" t="str">
        <v>Okt</v>
      </c>
      <c r="J310" s="212">
        <v>1</v>
      </c>
    </row>
    <row r="311" spans="3:11" x14ac:dyDescent="0.35">
      <c r="C311" s="209">
        <v>21</v>
      </c>
      <c r="D311" s="212">
        <v>1</v>
      </c>
      <c r="E311" s="212">
        <v>0</v>
      </c>
      <c r="F311" s="212">
        <v>0.2</v>
      </c>
      <c r="G311" s="212">
        <v>0.2</v>
      </c>
      <c r="H311" s="231"/>
      <c r="I311" s="209" t="str">
        <v>Nov</v>
      </c>
      <c r="J311" s="212">
        <v>1</v>
      </c>
    </row>
    <row r="312" spans="3:11" x14ac:dyDescent="0.35">
      <c r="C312" s="209">
        <v>22</v>
      </c>
      <c r="D312" s="212">
        <v>1</v>
      </c>
      <c r="E312" s="212">
        <v>0</v>
      </c>
      <c r="F312" s="212">
        <v>0.15</v>
      </c>
      <c r="G312" s="212">
        <v>0.15</v>
      </c>
      <c r="H312" s="231"/>
      <c r="I312" s="209" t="str">
        <v>Dec</v>
      </c>
      <c r="J312" s="212">
        <v>0.8</v>
      </c>
    </row>
    <row r="313" spans="3:11" x14ac:dyDescent="0.35">
      <c r="C313" s="209">
        <v>23</v>
      </c>
      <c r="D313" s="212">
        <v>1</v>
      </c>
      <c r="E313" s="212">
        <v>0</v>
      </c>
      <c r="F313" s="212">
        <v>0.15</v>
      </c>
      <c r="G313" s="212">
        <v>0.15</v>
      </c>
      <c r="H313" s="231"/>
      <c r="I313" s="208" t="str">
        <v>Average</v>
      </c>
      <c r="J313" s="219">
        <v>0.88333333333333341</v>
      </c>
    </row>
    <row r="314" spans="3:11" x14ac:dyDescent="0.35">
      <c r="C314" s="208" t="str">
        <v>Average</v>
      </c>
      <c r="D314" s="219">
        <v>0.60625000000000007</v>
      </c>
      <c r="E314" s="219">
        <v>0.3666666666666667</v>
      </c>
      <c r="F314" s="219">
        <v>0.54375000000000007</v>
      </c>
      <c r="G314" s="219">
        <v>0.54375000000000007</v>
      </c>
      <c r="H314" s="235"/>
      <c r="I314" s="236"/>
      <c r="J314" s="236"/>
      <c r="K314" s="232"/>
    </row>
    <row r="315" spans="3:11" x14ac:dyDescent="0.35">
      <c r="H315" s="233"/>
      <c r="I315" s="237"/>
      <c r="J315" s="237"/>
      <c r="K315" s="234"/>
    </row>
    <row r="317" spans="3:11" x14ac:dyDescent="0.35">
      <c r="C317" s="208" t="str" cm="1">
        <f t="array" ref="C317:H322">infra!C76:H81</f>
        <v>variable</v>
      </c>
      <c r="D317" s="208" t="str">
        <v>unit</v>
      </c>
      <c r="E317" s="208" t="str">
        <v>Depot</v>
      </c>
      <c r="F317" s="208" t="str">
        <v>Destination</v>
      </c>
      <c r="G317" s="208" t="str">
        <v>Rest Stop</v>
      </c>
      <c r="H317" s="208" t="str">
        <v>ERS</v>
      </c>
    </row>
    <row r="318" spans="3:11" x14ac:dyDescent="0.35">
      <c r="C318" s="209" t="str">
        <v>Overcapacity (demand variability)</v>
      </c>
      <c r="D318" s="209" t="str">
        <v>percent</v>
      </c>
      <c r="E318" s="219">
        <v>0.3</v>
      </c>
      <c r="F318" s="219">
        <v>1</v>
      </c>
      <c r="G318" s="219">
        <v>1</v>
      </c>
      <c r="H318" s="219">
        <v>0.5</v>
      </c>
    </row>
    <row r="319" spans="3:11" x14ac:dyDescent="0.35">
      <c r="C319" s="209" t="str">
        <v>Annual utilization</v>
      </c>
      <c r="D319" s="209" t="str">
        <v>percent</v>
      </c>
      <c r="E319" s="219">
        <v>0.34132097069597084</v>
      </c>
      <c r="F319" s="219">
        <v>0.13418253968253971</v>
      </c>
      <c r="G319" s="219">
        <v>0.19898660714285721</v>
      </c>
      <c r="H319" s="219">
        <v>0.2653154761904763</v>
      </c>
    </row>
    <row r="320" spans="3:11" x14ac:dyDescent="0.35">
      <c r="C320" s="209" t="str">
        <v>Electricity price</v>
      </c>
      <c r="D320" s="209" t="str">
        <v>ratio min to max</v>
      </c>
      <c r="E320" s="223">
        <v>0.37642924705736347</v>
      </c>
      <c r="F320" s="223">
        <v>0.82451781904715449</v>
      </c>
      <c r="G320" s="223">
        <v>0.72604475975560701</v>
      </c>
      <c r="H320" s="223">
        <v>0.72604475975560701</v>
      </c>
    </row>
    <row r="321" spans="3:8" x14ac:dyDescent="0.35">
      <c r="C321" s="209" t="str">
        <v>Grid fee</v>
      </c>
      <c r="D321" s="209" t="str">
        <v>euro per kWh</v>
      </c>
      <c r="E321" s="223">
        <v>1.7578761679265399E-2</v>
      </c>
      <c r="F321" s="223">
        <v>4.4715206719110417E-2</v>
      </c>
      <c r="G321" s="223">
        <v>3.015278307495568E-2</v>
      </c>
      <c r="H321" s="223">
        <v>2.2614587306216759E-2</v>
      </c>
    </row>
    <row r="322" spans="3:8" x14ac:dyDescent="0.35">
      <c r="C322" s="209" t="str">
        <v>Electricity price €/kWh</v>
      </c>
      <c r="D322" s="221" t="str">
        <v>euro per kWh</v>
      </c>
      <c r="E322" s="223">
        <v>9.1607451094968456E-2</v>
      </c>
      <c r="F322" s="223">
        <v>0.11578635954513455</v>
      </c>
      <c r="G322" s="223">
        <v>0.1104727424741945</v>
      </c>
      <c r="H322" s="223">
        <v>0.1104727424741945</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FC0CC-433E-4591-957B-3870EACD6013}">
  <dimension ref="A1:T83"/>
  <sheetViews>
    <sheetView topLeftCell="D1" workbookViewId="0">
      <selection activeCell="E6" sqref="E6"/>
    </sheetView>
  </sheetViews>
  <sheetFormatPr defaultRowHeight="14.5" x14ac:dyDescent="0.35"/>
  <cols>
    <col min="1" max="1" width="21.90625" bestFit="1" customWidth="1"/>
    <col min="6" max="6" width="8.90625" bestFit="1" customWidth="1"/>
    <col min="12" max="12" width="10.08984375" bestFit="1" customWidth="1"/>
    <col min="13" max="13" width="8.90625" bestFit="1" customWidth="1"/>
  </cols>
  <sheetData>
    <row r="1" spans="1:20" x14ac:dyDescent="0.35">
      <c r="A1" t="s">
        <v>420</v>
      </c>
      <c r="B1" t="s">
        <v>463</v>
      </c>
      <c r="C1" t="s">
        <v>115</v>
      </c>
      <c r="D1" t="s">
        <v>421</v>
      </c>
      <c r="F1" t="s">
        <v>76</v>
      </c>
      <c r="L1" t="s">
        <v>468</v>
      </c>
      <c r="P1" t="s">
        <v>469</v>
      </c>
      <c r="R1" t="s">
        <v>76</v>
      </c>
    </row>
    <row r="2" spans="1:20" x14ac:dyDescent="0.35">
      <c r="A2" t="s">
        <v>452</v>
      </c>
      <c r="B2">
        <v>0.57099999999999995</v>
      </c>
      <c r="C2">
        <v>0.66200000000000003</v>
      </c>
      <c r="D2">
        <v>0.21199999999999999</v>
      </c>
      <c r="F2" s="58" t="s">
        <v>470</v>
      </c>
      <c r="R2" t="s">
        <v>471</v>
      </c>
    </row>
    <row r="3" spans="1:20" x14ac:dyDescent="0.35">
      <c r="A3" t="s">
        <v>425</v>
      </c>
      <c r="B3">
        <v>0.87</v>
      </c>
      <c r="C3">
        <v>0.87</v>
      </c>
      <c r="D3">
        <v>0.45700000000000002</v>
      </c>
      <c r="F3" s="165">
        <v>45035</v>
      </c>
      <c r="M3" t="s">
        <v>464</v>
      </c>
      <c r="N3" t="s">
        <v>465</v>
      </c>
      <c r="O3" t="s">
        <v>466</v>
      </c>
      <c r="P3" t="s">
        <v>467</v>
      </c>
      <c r="Q3" t="s">
        <v>472</v>
      </c>
      <c r="R3" t="s">
        <v>473</v>
      </c>
      <c r="S3" t="s">
        <v>474</v>
      </c>
      <c r="T3" t="s">
        <v>475</v>
      </c>
    </row>
    <row r="4" spans="1:20" x14ac:dyDescent="0.35">
      <c r="A4" t="s">
        <v>460</v>
      </c>
      <c r="B4">
        <v>1.06</v>
      </c>
      <c r="C4">
        <v>0.995</v>
      </c>
      <c r="D4">
        <v>0.49099999999999999</v>
      </c>
      <c r="F4" t="s">
        <v>504</v>
      </c>
      <c r="L4" s="164">
        <v>44986</v>
      </c>
      <c r="M4">
        <v>50.28</v>
      </c>
      <c r="N4">
        <v>50.28</v>
      </c>
      <c r="O4">
        <v>71.790000000000006</v>
      </c>
      <c r="P4">
        <v>81.8</v>
      </c>
      <c r="Q4">
        <v>111.96</v>
      </c>
      <c r="R4">
        <v>109.59</v>
      </c>
      <c r="S4">
        <v>102.52</v>
      </c>
      <c r="T4">
        <v>104.56</v>
      </c>
    </row>
    <row r="5" spans="1:20" x14ac:dyDescent="0.35">
      <c r="A5" t="s">
        <v>446</v>
      </c>
      <c r="B5">
        <v>1.2569999999999999</v>
      </c>
      <c r="C5">
        <v>1.073</v>
      </c>
      <c r="D5">
        <v>0.81599999999999995</v>
      </c>
      <c r="L5" s="164">
        <v>44958</v>
      </c>
      <c r="M5">
        <v>46.46</v>
      </c>
      <c r="N5">
        <v>46.46</v>
      </c>
      <c r="O5">
        <v>73.67</v>
      </c>
      <c r="P5">
        <v>91.75</v>
      </c>
      <c r="Q5">
        <v>148.76</v>
      </c>
      <c r="R5">
        <v>143.51</v>
      </c>
      <c r="S5">
        <v>128.31</v>
      </c>
      <c r="T5">
        <v>134.85</v>
      </c>
    </row>
    <row r="6" spans="1:20" x14ac:dyDescent="0.35">
      <c r="A6" t="s">
        <v>461</v>
      </c>
      <c r="B6">
        <v>1.1599999999999999</v>
      </c>
      <c r="C6">
        <v>1.149</v>
      </c>
      <c r="D6">
        <v>0.54100000000000004</v>
      </c>
      <c r="L6" s="164">
        <v>44927</v>
      </c>
      <c r="M6">
        <v>62.85</v>
      </c>
      <c r="N6">
        <v>62.85</v>
      </c>
      <c r="O6">
        <v>82.72</v>
      </c>
      <c r="P6">
        <v>93.34</v>
      </c>
      <c r="Q6">
        <v>132.1</v>
      </c>
      <c r="R6">
        <v>130.69999999999999</v>
      </c>
      <c r="S6">
        <v>117.83</v>
      </c>
      <c r="T6">
        <v>126.01</v>
      </c>
    </row>
    <row r="7" spans="1:20" x14ac:dyDescent="0.35">
      <c r="A7" t="s">
        <v>445</v>
      </c>
      <c r="B7">
        <v>1.34</v>
      </c>
      <c r="C7">
        <v>1.21</v>
      </c>
      <c r="L7" s="164">
        <v>44896</v>
      </c>
      <c r="M7">
        <v>188.24</v>
      </c>
      <c r="N7">
        <v>188.31</v>
      </c>
      <c r="O7">
        <v>245.84</v>
      </c>
      <c r="P7">
        <v>248.06</v>
      </c>
      <c r="Q7">
        <v>270.89</v>
      </c>
      <c r="R7">
        <v>269.27999999999997</v>
      </c>
      <c r="S7">
        <v>251.62</v>
      </c>
      <c r="T7">
        <v>258.89</v>
      </c>
    </row>
    <row r="8" spans="1:20" x14ac:dyDescent="0.35">
      <c r="A8" t="s">
        <v>428</v>
      </c>
      <c r="B8">
        <v>1.3080000000000001</v>
      </c>
      <c r="C8">
        <v>1.341</v>
      </c>
      <c r="D8">
        <v>0.56999999999999995</v>
      </c>
      <c r="L8" s="164">
        <v>44866</v>
      </c>
      <c r="M8">
        <v>111.9</v>
      </c>
      <c r="N8">
        <v>111.9</v>
      </c>
      <c r="O8">
        <v>120.04</v>
      </c>
      <c r="P8">
        <v>123.69</v>
      </c>
      <c r="Q8">
        <v>191.88</v>
      </c>
      <c r="R8">
        <v>180.41</v>
      </c>
      <c r="S8">
        <v>173.63</v>
      </c>
      <c r="T8">
        <v>179.19</v>
      </c>
    </row>
    <row r="9" spans="1:20" x14ac:dyDescent="0.35">
      <c r="A9" t="s">
        <v>427</v>
      </c>
      <c r="B9">
        <v>1.3660000000000001</v>
      </c>
      <c r="C9">
        <v>1.3540000000000001</v>
      </c>
      <c r="D9">
        <v>0.72399999999999998</v>
      </c>
      <c r="L9" s="164">
        <v>44835</v>
      </c>
      <c r="M9">
        <v>46.09</v>
      </c>
      <c r="N9">
        <v>46.85</v>
      </c>
      <c r="O9">
        <v>73.58</v>
      </c>
      <c r="P9">
        <v>74.150000000000006</v>
      </c>
      <c r="Q9">
        <v>178.88</v>
      </c>
      <c r="R9">
        <v>157.38999999999999</v>
      </c>
      <c r="S9">
        <v>152.6</v>
      </c>
      <c r="T9">
        <v>155.41</v>
      </c>
    </row>
    <row r="10" spans="1:20" x14ac:dyDescent="0.35">
      <c r="A10" t="s">
        <v>423</v>
      </c>
      <c r="B10">
        <v>1.5</v>
      </c>
      <c r="C10">
        <v>1.377</v>
      </c>
      <c r="L10" s="164">
        <v>44805</v>
      </c>
      <c r="M10">
        <v>93.51</v>
      </c>
      <c r="N10">
        <v>93.88</v>
      </c>
      <c r="O10">
        <v>212.3</v>
      </c>
      <c r="P10">
        <v>224.46</v>
      </c>
      <c r="Q10">
        <v>394.7</v>
      </c>
      <c r="R10">
        <v>346.51</v>
      </c>
      <c r="S10">
        <v>346.12</v>
      </c>
      <c r="T10">
        <v>341.88</v>
      </c>
    </row>
    <row r="11" spans="1:20" x14ac:dyDescent="0.35">
      <c r="A11" t="s">
        <v>451</v>
      </c>
      <c r="B11">
        <v>1.3879999999999999</v>
      </c>
      <c r="C11">
        <v>1.4330000000000001</v>
      </c>
      <c r="D11">
        <v>0.78800000000000003</v>
      </c>
      <c r="L11" s="164">
        <v>44774</v>
      </c>
      <c r="M11">
        <v>17.329999999999998</v>
      </c>
      <c r="N11">
        <v>49.45</v>
      </c>
      <c r="O11">
        <v>211.4</v>
      </c>
      <c r="P11">
        <v>289.27999999999997</v>
      </c>
      <c r="Q11">
        <v>492.49</v>
      </c>
      <c r="R11">
        <v>448.13</v>
      </c>
      <c r="S11">
        <v>465.18</v>
      </c>
      <c r="T11">
        <v>447.06</v>
      </c>
    </row>
    <row r="12" spans="1:20" x14ac:dyDescent="0.35">
      <c r="A12" t="s">
        <v>456</v>
      </c>
      <c r="B12">
        <v>1.3740000000000001</v>
      </c>
      <c r="C12">
        <v>1.4390000000000001</v>
      </c>
      <c r="D12">
        <v>0.89400000000000002</v>
      </c>
      <c r="L12" s="164">
        <v>44743</v>
      </c>
      <c r="M12">
        <v>21.34</v>
      </c>
      <c r="N12">
        <v>21.34</v>
      </c>
      <c r="O12">
        <v>81.790000000000006</v>
      </c>
      <c r="P12">
        <v>115.37</v>
      </c>
      <c r="Q12">
        <v>400.87</v>
      </c>
      <c r="R12">
        <v>321.33</v>
      </c>
      <c r="S12">
        <v>315</v>
      </c>
      <c r="T12">
        <v>306.60000000000002</v>
      </c>
    </row>
    <row r="13" spans="1:20" x14ac:dyDescent="0.35">
      <c r="A13" t="s">
        <v>449</v>
      </c>
      <c r="B13">
        <v>1.4670000000000001</v>
      </c>
      <c r="C13">
        <v>1.4450000000000001</v>
      </c>
      <c r="D13">
        <v>0.66400000000000003</v>
      </c>
      <c r="L13" s="164">
        <v>44713</v>
      </c>
      <c r="M13">
        <v>48.38</v>
      </c>
      <c r="N13">
        <v>48.38</v>
      </c>
      <c r="O13">
        <v>119.14</v>
      </c>
      <c r="P13">
        <v>169.95</v>
      </c>
      <c r="Q13">
        <v>248.4</v>
      </c>
      <c r="R13">
        <v>219.1</v>
      </c>
      <c r="S13">
        <v>218.03</v>
      </c>
      <c r="T13">
        <v>210.55</v>
      </c>
    </row>
    <row r="14" spans="1:20" x14ac:dyDescent="0.35">
      <c r="A14" t="s">
        <v>430</v>
      </c>
      <c r="B14">
        <v>1.4139999999999999</v>
      </c>
      <c r="C14">
        <v>1.476</v>
      </c>
      <c r="L14" s="164">
        <v>44682</v>
      </c>
      <c r="M14">
        <v>55.16</v>
      </c>
      <c r="N14">
        <v>55.16</v>
      </c>
      <c r="O14">
        <v>98.15</v>
      </c>
      <c r="P14">
        <v>132.83000000000001</v>
      </c>
      <c r="Q14">
        <v>197.43</v>
      </c>
      <c r="R14">
        <v>176.64</v>
      </c>
      <c r="S14">
        <v>177.48</v>
      </c>
      <c r="T14">
        <v>181.37</v>
      </c>
    </row>
    <row r="15" spans="1:20" x14ac:dyDescent="0.35">
      <c r="A15" t="s">
        <v>431</v>
      </c>
      <c r="B15">
        <v>1.6040000000000001</v>
      </c>
      <c r="C15">
        <v>1.48</v>
      </c>
      <c r="D15">
        <v>0.70199999999999996</v>
      </c>
      <c r="L15" s="164">
        <v>44652</v>
      </c>
      <c r="M15">
        <v>51.22</v>
      </c>
      <c r="N15">
        <v>51.94</v>
      </c>
      <c r="O15">
        <v>86.3</v>
      </c>
      <c r="P15">
        <v>110.11</v>
      </c>
      <c r="Q15">
        <v>233.1</v>
      </c>
      <c r="R15">
        <v>186.59</v>
      </c>
      <c r="S15">
        <v>165.73</v>
      </c>
      <c r="T15">
        <v>195.2</v>
      </c>
    </row>
    <row r="16" spans="1:20" x14ac:dyDescent="0.35">
      <c r="A16" t="s">
        <v>444</v>
      </c>
      <c r="B16">
        <v>1.633</v>
      </c>
      <c r="C16">
        <v>1.4810000000000001</v>
      </c>
      <c r="D16">
        <v>0.71699999999999997</v>
      </c>
      <c r="L16" s="164">
        <v>44621</v>
      </c>
      <c r="M16">
        <v>21.78</v>
      </c>
      <c r="N16">
        <v>21.78</v>
      </c>
      <c r="O16">
        <v>122.9</v>
      </c>
      <c r="P16">
        <v>145.78</v>
      </c>
      <c r="Q16">
        <v>295.2</v>
      </c>
      <c r="R16">
        <v>265.70999999999998</v>
      </c>
      <c r="S16">
        <v>252.01</v>
      </c>
      <c r="T16">
        <v>261.18</v>
      </c>
    </row>
    <row r="17" spans="1:20" x14ac:dyDescent="0.35">
      <c r="A17" t="s">
        <v>443</v>
      </c>
      <c r="B17">
        <v>1.5449999999999999</v>
      </c>
      <c r="C17">
        <v>1.4850000000000001</v>
      </c>
      <c r="D17">
        <v>0.55900000000000005</v>
      </c>
      <c r="L17" s="164">
        <v>44593</v>
      </c>
      <c r="M17">
        <v>24.5</v>
      </c>
      <c r="N17">
        <v>24.5</v>
      </c>
      <c r="O17">
        <v>73.489999999999995</v>
      </c>
      <c r="P17">
        <v>79.48</v>
      </c>
      <c r="Q17">
        <v>185.55</v>
      </c>
      <c r="R17">
        <v>162.63999999999999</v>
      </c>
      <c r="S17">
        <v>128.80000000000001</v>
      </c>
      <c r="T17">
        <v>168.37</v>
      </c>
    </row>
    <row r="18" spans="1:20" x14ac:dyDescent="0.35">
      <c r="A18" t="s">
        <v>450</v>
      </c>
      <c r="B18">
        <v>1.712</v>
      </c>
      <c r="C18">
        <v>1.4930000000000001</v>
      </c>
      <c r="D18">
        <v>0.82899999999999996</v>
      </c>
      <c r="L18" s="164">
        <v>44562</v>
      </c>
      <c r="M18">
        <v>28.08</v>
      </c>
      <c r="N18">
        <v>28.08</v>
      </c>
      <c r="O18">
        <v>100.89</v>
      </c>
      <c r="P18">
        <v>105.77</v>
      </c>
      <c r="Q18">
        <v>211.42</v>
      </c>
      <c r="R18">
        <v>191.4</v>
      </c>
      <c r="S18">
        <v>167.73</v>
      </c>
      <c r="T18">
        <v>189.1</v>
      </c>
    </row>
    <row r="19" spans="1:20" x14ac:dyDescent="0.35">
      <c r="A19" t="s">
        <v>455</v>
      </c>
      <c r="B19">
        <v>1.6060000000000001</v>
      </c>
      <c r="C19">
        <v>1.4930000000000001</v>
      </c>
      <c r="D19">
        <v>0.73799999999999999</v>
      </c>
      <c r="L19" s="164">
        <v>44531</v>
      </c>
      <c r="M19">
        <v>64.849999999999994</v>
      </c>
      <c r="N19">
        <v>64.849999999999994</v>
      </c>
      <c r="O19">
        <v>175.74</v>
      </c>
      <c r="P19">
        <v>182.21</v>
      </c>
      <c r="Q19">
        <v>274.67</v>
      </c>
      <c r="R19">
        <v>245.44</v>
      </c>
      <c r="S19">
        <v>221.06</v>
      </c>
      <c r="T19">
        <v>237.81</v>
      </c>
    </row>
    <row r="20" spans="1:20" x14ac:dyDescent="0.35">
      <c r="A20" t="s">
        <v>429</v>
      </c>
      <c r="B20">
        <v>1.51</v>
      </c>
      <c r="C20">
        <v>1.5</v>
      </c>
      <c r="D20">
        <v>0.95</v>
      </c>
      <c r="L20" s="164">
        <v>44501</v>
      </c>
      <c r="M20">
        <v>43.04</v>
      </c>
      <c r="N20">
        <v>43.04</v>
      </c>
      <c r="O20">
        <v>82.53</v>
      </c>
      <c r="P20">
        <v>111.6</v>
      </c>
      <c r="Q20">
        <v>217.06</v>
      </c>
      <c r="R20">
        <v>202.15</v>
      </c>
      <c r="S20">
        <v>176.15</v>
      </c>
      <c r="T20">
        <v>186.25</v>
      </c>
    </row>
    <row r="21" spans="1:20" x14ac:dyDescent="0.35">
      <c r="A21" t="s">
        <v>457</v>
      </c>
      <c r="B21">
        <v>1.641</v>
      </c>
      <c r="C21">
        <v>1.5049999999999999</v>
      </c>
      <c r="D21">
        <v>0.96199999999999997</v>
      </c>
      <c r="L21" s="164">
        <v>44470</v>
      </c>
      <c r="M21">
        <v>25.59</v>
      </c>
      <c r="N21">
        <v>25.59</v>
      </c>
      <c r="O21">
        <v>64.28</v>
      </c>
      <c r="P21">
        <v>86.2</v>
      </c>
      <c r="Q21">
        <v>172.45</v>
      </c>
      <c r="R21">
        <v>165.24</v>
      </c>
      <c r="S21">
        <v>139.49</v>
      </c>
      <c r="T21">
        <v>163.66999999999999</v>
      </c>
    </row>
    <row r="22" spans="1:20" x14ac:dyDescent="0.35">
      <c r="A22" t="s">
        <v>442</v>
      </c>
      <c r="B22">
        <v>1.643</v>
      </c>
      <c r="C22">
        <v>1.556</v>
      </c>
      <c r="D22">
        <v>0.79200000000000004</v>
      </c>
      <c r="L22" s="164">
        <v>44440</v>
      </c>
      <c r="M22">
        <v>55.5</v>
      </c>
      <c r="N22">
        <v>55.5</v>
      </c>
      <c r="O22">
        <v>90.26</v>
      </c>
      <c r="P22">
        <v>120.59</v>
      </c>
      <c r="Q22">
        <v>135.31</v>
      </c>
      <c r="R22">
        <v>136.21</v>
      </c>
      <c r="S22">
        <v>128.37</v>
      </c>
      <c r="T22">
        <v>136.43</v>
      </c>
    </row>
    <row r="23" spans="1:20" x14ac:dyDescent="0.35">
      <c r="A23" t="s">
        <v>433</v>
      </c>
      <c r="B23">
        <v>1.6890000000000001</v>
      </c>
      <c r="C23">
        <v>1.57</v>
      </c>
      <c r="D23">
        <v>0.70199999999999996</v>
      </c>
      <c r="L23" s="164">
        <v>44409</v>
      </c>
      <c r="M23">
        <v>57.55</v>
      </c>
      <c r="N23">
        <v>57.55</v>
      </c>
      <c r="O23">
        <v>65.67</v>
      </c>
      <c r="P23">
        <v>83.68</v>
      </c>
      <c r="Q23">
        <v>77.3</v>
      </c>
      <c r="R23">
        <v>79.47</v>
      </c>
      <c r="S23">
        <v>82.7</v>
      </c>
      <c r="T23">
        <v>86.62</v>
      </c>
    </row>
    <row r="24" spans="1:20" x14ac:dyDescent="0.35">
      <c r="A24" t="s">
        <v>438</v>
      </c>
      <c r="B24">
        <v>1.647</v>
      </c>
      <c r="C24">
        <v>1.571</v>
      </c>
      <c r="D24">
        <v>0.95199999999999996</v>
      </c>
      <c r="L24" s="164">
        <v>44378</v>
      </c>
      <c r="M24">
        <v>50.93</v>
      </c>
      <c r="N24">
        <v>51.74</v>
      </c>
      <c r="O24">
        <v>57.9</v>
      </c>
      <c r="P24">
        <v>68.040000000000006</v>
      </c>
      <c r="Q24">
        <v>78.37</v>
      </c>
      <c r="R24">
        <v>77.42</v>
      </c>
      <c r="S24">
        <v>81.37</v>
      </c>
      <c r="T24">
        <v>82.58</v>
      </c>
    </row>
    <row r="25" spans="1:20" x14ac:dyDescent="0.35">
      <c r="A25" t="s">
        <v>424</v>
      </c>
      <c r="B25">
        <v>1.6160000000000001</v>
      </c>
      <c r="C25">
        <v>1.58</v>
      </c>
      <c r="L25" s="164">
        <v>44348</v>
      </c>
      <c r="M25">
        <v>34.42</v>
      </c>
      <c r="N25">
        <v>34.42</v>
      </c>
      <c r="O25">
        <v>39.840000000000003</v>
      </c>
      <c r="P25">
        <v>73.05</v>
      </c>
      <c r="Q25">
        <v>73.510000000000005</v>
      </c>
      <c r="R25">
        <v>74.44</v>
      </c>
      <c r="S25">
        <v>74.08</v>
      </c>
      <c r="T25">
        <v>76.459999999999994</v>
      </c>
    </row>
    <row r="26" spans="1:20" x14ac:dyDescent="0.35">
      <c r="A26" t="s">
        <v>440</v>
      </c>
      <c r="B26">
        <v>1.6060000000000001</v>
      </c>
      <c r="C26">
        <v>1.59</v>
      </c>
      <c r="L26" s="164">
        <v>44317</v>
      </c>
      <c r="M26">
        <v>38.380000000000003</v>
      </c>
      <c r="N26">
        <v>38.380000000000003</v>
      </c>
      <c r="O26">
        <v>42.88</v>
      </c>
      <c r="P26">
        <v>47.78</v>
      </c>
      <c r="Q26">
        <v>55.28</v>
      </c>
      <c r="R26">
        <v>55.63</v>
      </c>
      <c r="S26">
        <v>53.35</v>
      </c>
      <c r="T26">
        <v>56.13</v>
      </c>
    </row>
    <row r="27" spans="1:20" x14ac:dyDescent="0.35">
      <c r="A27" t="s">
        <v>447</v>
      </c>
      <c r="B27">
        <v>1.8779999999999999</v>
      </c>
      <c r="C27">
        <v>1.59</v>
      </c>
      <c r="D27">
        <v>0.82599999999999996</v>
      </c>
      <c r="L27" s="164">
        <v>44287</v>
      </c>
      <c r="M27">
        <v>26.44</v>
      </c>
      <c r="N27">
        <v>26.36</v>
      </c>
      <c r="O27">
        <v>33.119999999999997</v>
      </c>
      <c r="P27">
        <v>42.46</v>
      </c>
      <c r="Q27">
        <v>63.1</v>
      </c>
      <c r="R27">
        <v>56.99</v>
      </c>
      <c r="S27">
        <v>53.61</v>
      </c>
      <c r="T27">
        <v>53.83</v>
      </c>
    </row>
    <row r="28" spans="1:20" x14ac:dyDescent="0.35">
      <c r="A28" t="s">
        <v>453</v>
      </c>
      <c r="B28">
        <v>1.7749999999999999</v>
      </c>
      <c r="C28">
        <v>1.617</v>
      </c>
      <c r="D28">
        <v>0.748</v>
      </c>
      <c r="L28" s="164">
        <v>44256</v>
      </c>
      <c r="M28">
        <v>25.03</v>
      </c>
      <c r="N28">
        <v>25.03</v>
      </c>
      <c r="O28">
        <v>36.17</v>
      </c>
      <c r="P28">
        <v>45.13</v>
      </c>
      <c r="Q28">
        <v>50.22</v>
      </c>
      <c r="R28">
        <v>46.61</v>
      </c>
      <c r="S28">
        <v>47.16</v>
      </c>
      <c r="T28">
        <v>48.88</v>
      </c>
    </row>
    <row r="29" spans="1:20" x14ac:dyDescent="0.35">
      <c r="A29" t="s">
        <v>422</v>
      </c>
      <c r="B29">
        <v>1.6619999999999999</v>
      </c>
      <c r="C29">
        <v>1.645</v>
      </c>
      <c r="D29">
        <v>0.67</v>
      </c>
      <c r="L29" s="164">
        <v>44228</v>
      </c>
      <c r="M29">
        <v>43.25</v>
      </c>
      <c r="N29">
        <v>43.25</v>
      </c>
      <c r="O29">
        <v>53.14</v>
      </c>
      <c r="P29">
        <v>53.89</v>
      </c>
      <c r="Q29">
        <v>49.01</v>
      </c>
      <c r="R29">
        <v>48.57</v>
      </c>
      <c r="S29">
        <v>48.7</v>
      </c>
      <c r="T29">
        <v>49.23</v>
      </c>
    </row>
    <row r="30" spans="1:20" x14ac:dyDescent="0.35">
      <c r="A30" t="s">
        <v>454</v>
      </c>
      <c r="B30">
        <v>1.5089999999999999</v>
      </c>
      <c r="C30">
        <v>1.655</v>
      </c>
      <c r="D30">
        <v>0.88600000000000001</v>
      </c>
      <c r="L30" s="164">
        <v>44197</v>
      </c>
      <c r="M30">
        <v>44.65</v>
      </c>
      <c r="N30">
        <v>44.65</v>
      </c>
      <c r="O30">
        <v>48.6</v>
      </c>
      <c r="P30">
        <v>49.76</v>
      </c>
      <c r="Q30">
        <v>59.48</v>
      </c>
      <c r="R30">
        <v>57.46</v>
      </c>
      <c r="S30">
        <v>52.81</v>
      </c>
      <c r="T30">
        <v>53.63</v>
      </c>
    </row>
    <row r="31" spans="1:20" x14ac:dyDescent="0.35">
      <c r="A31" t="s">
        <v>437</v>
      </c>
      <c r="B31">
        <v>1.948</v>
      </c>
      <c r="C31">
        <v>1.6559999999999999</v>
      </c>
      <c r="D31">
        <v>0.98199999999999998</v>
      </c>
      <c r="L31" s="164">
        <v>44166</v>
      </c>
      <c r="M31">
        <v>18.09</v>
      </c>
      <c r="N31">
        <v>18.09</v>
      </c>
      <c r="O31">
        <v>30.96</v>
      </c>
      <c r="P31">
        <v>37.32</v>
      </c>
      <c r="Q31">
        <v>48.42</v>
      </c>
      <c r="R31">
        <v>47.38</v>
      </c>
      <c r="S31">
        <v>43.52</v>
      </c>
      <c r="T31">
        <v>48.26</v>
      </c>
    </row>
    <row r="32" spans="1:20" x14ac:dyDescent="0.35">
      <c r="A32" t="s">
        <v>436</v>
      </c>
      <c r="B32">
        <v>1.823</v>
      </c>
      <c r="C32">
        <v>1.6870000000000001</v>
      </c>
      <c r="D32">
        <v>1.083</v>
      </c>
      <c r="L32" s="164">
        <v>44136</v>
      </c>
      <c r="M32">
        <v>6.47</v>
      </c>
      <c r="N32">
        <v>6.47</v>
      </c>
      <c r="O32">
        <v>23.64</v>
      </c>
      <c r="P32">
        <v>34.6</v>
      </c>
      <c r="Q32">
        <v>40.11</v>
      </c>
      <c r="R32">
        <v>39.92</v>
      </c>
      <c r="S32">
        <v>38.79</v>
      </c>
      <c r="T32">
        <v>41.04</v>
      </c>
    </row>
    <row r="33" spans="1:20" x14ac:dyDescent="0.35">
      <c r="A33" t="s">
        <v>426</v>
      </c>
      <c r="B33">
        <v>1.754</v>
      </c>
      <c r="C33">
        <v>1.704</v>
      </c>
      <c r="D33">
        <v>0.68400000000000005</v>
      </c>
      <c r="L33" s="164">
        <v>44105</v>
      </c>
      <c r="M33">
        <v>20.6</v>
      </c>
      <c r="N33">
        <v>20.6</v>
      </c>
      <c r="O33">
        <v>22.12</v>
      </c>
      <c r="P33">
        <v>26.27</v>
      </c>
      <c r="Q33">
        <v>37.89</v>
      </c>
      <c r="R33">
        <v>39.39</v>
      </c>
      <c r="S33">
        <v>33.97</v>
      </c>
      <c r="T33">
        <v>37.11</v>
      </c>
    </row>
    <row r="34" spans="1:20" x14ac:dyDescent="0.35">
      <c r="A34" t="s">
        <v>448</v>
      </c>
      <c r="B34">
        <v>2.0139999999999998</v>
      </c>
      <c r="C34">
        <v>1.71</v>
      </c>
      <c r="L34" s="164">
        <v>44075</v>
      </c>
      <c r="M34">
        <v>30.11</v>
      </c>
      <c r="N34">
        <v>30.11</v>
      </c>
      <c r="O34">
        <v>33.49</v>
      </c>
      <c r="P34">
        <v>35.65</v>
      </c>
      <c r="Q34">
        <v>47.2</v>
      </c>
      <c r="R34">
        <v>44.23</v>
      </c>
      <c r="S34">
        <v>43.69</v>
      </c>
      <c r="T34">
        <v>42.62</v>
      </c>
    </row>
    <row r="35" spans="1:20" x14ac:dyDescent="0.35">
      <c r="A35" t="s">
        <v>432</v>
      </c>
      <c r="B35">
        <v>2.008</v>
      </c>
      <c r="C35">
        <v>1.7130000000000001</v>
      </c>
      <c r="L35" s="164">
        <v>44044</v>
      </c>
      <c r="M35">
        <v>17.5</v>
      </c>
      <c r="N35">
        <v>17.510000000000002</v>
      </c>
      <c r="O35">
        <v>33.659999999999997</v>
      </c>
      <c r="P35">
        <v>40.409999999999997</v>
      </c>
      <c r="Q35">
        <v>36.75</v>
      </c>
      <c r="R35">
        <v>35.54</v>
      </c>
      <c r="S35">
        <v>34.86</v>
      </c>
      <c r="T35">
        <v>34.020000000000003</v>
      </c>
    </row>
    <row r="36" spans="1:20" x14ac:dyDescent="0.35">
      <c r="A36" t="s">
        <v>441</v>
      </c>
      <c r="B36">
        <v>1.887</v>
      </c>
      <c r="C36">
        <v>1.7629999999999999</v>
      </c>
      <c r="D36">
        <v>0.78</v>
      </c>
      <c r="L36" s="164">
        <v>44013</v>
      </c>
      <c r="M36">
        <v>8.5</v>
      </c>
      <c r="N36">
        <v>8.5</v>
      </c>
      <c r="O36">
        <v>8.92</v>
      </c>
      <c r="P36">
        <v>22.86</v>
      </c>
      <c r="Q36">
        <v>33.409999999999997</v>
      </c>
      <c r="R36">
        <v>29.84</v>
      </c>
      <c r="S36">
        <v>30.06</v>
      </c>
      <c r="T36">
        <v>29.35</v>
      </c>
    </row>
    <row r="37" spans="1:20" x14ac:dyDescent="0.35">
      <c r="A37" t="s">
        <v>435</v>
      </c>
      <c r="B37">
        <v>1.9359999999999999</v>
      </c>
      <c r="C37">
        <v>1.8</v>
      </c>
      <c r="D37">
        <v>0.999</v>
      </c>
      <c r="L37" s="164">
        <v>43983</v>
      </c>
      <c r="M37">
        <v>9.8699999999999992</v>
      </c>
      <c r="N37">
        <v>9.8699999999999992</v>
      </c>
      <c r="O37">
        <v>23.73</v>
      </c>
      <c r="P37">
        <v>24.21</v>
      </c>
      <c r="Q37">
        <v>25.79</v>
      </c>
      <c r="R37">
        <v>25.56</v>
      </c>
      <c r="S37">
        <v>26.18</v>
      </c>
      <c r="T37">
        <v>26.23</v>
      </c>
    </row>
    <row r="38" spans="1:20" x14ac:dyDescent="0.35">
      <c r="A38" t="s">
        <v>462</v>
      </c>
      <c r="B38">
        <v>1.6539999999999999</v>
      </c>
      <c r="C38">
        <v>1.835</v>
      </c>
      <c r="D38">
        <v>0.87</v>
      </c>
      <c r="L38" s="164">
        <v>43952</v>
      </c>
      <c r="M38">
        <v>9.5</v>
      </c>
      <c r="N38">
        <v>9.5</v>
      </c>
      <c r="O38">
        <v>12.74</v>
      </c>
      <c r="P38">
        <v>14.03</v>
      </c>
      <c r="Q38">
        <v>14.86</v>
      </c>
      <c r="R38">
        <v>15.39</v>
      </c>
      <c r="S38">
        <v>17.600000000000001</v>
      </c>
      <c r="T38">
        <v>17.649999999999999</v>
      </c>
    </row>
    <row r="39" spans="1:20" x14ac:dyDescent="0.35">
      <c r="A39" t="s">
        <v>434</v>
      </c>
      <c r="B39">
        <v>1.9390000000000001</v>
      </c>
      <c r="C39">
        <v>1.8819999999999999</v>
      </c>
      <c r="L39" s="164">
        <v>43922</v>
      </c>
      <c r="M39">
        <v>5.13</v>
      </c>
      <c r="N39">
        <v>5.13</v>
      </c>
      <c r="O39">
        <v>9</v>
      </c>
      <c r="P39">
        <v>13.74</v>
      </c>
      <c r="Q39">
        <v>13.45</v>
      </c>
      <c r="R39">
        <v>14.72</v>
      </c>
      <c r="S39">
        <v>17.09</v>
      </c>
      <c r="T39">
        <v>19.010000000000002</v>
      </c>
    </row>
    <row r="40" spans="1:20" x14ac:dyDescent="0.35">
      <c r="A40" t="s">
        <v>458</v>
      </c>
      <c r="B40">
        <v>1.7949999999999999</v>
      </c>
      <c r="C40">
        <v>1.9359999999999999</v>
      </c>
      <c r="D40">
        <v>1.2090000000000001</v>
      </c>
      <c r="L40" s="164">
        <v>43891</v>
      </c>
      <c r="M40">
        <v>9.01</v>
      </c>
      <c r="N40">
        <v>9.01</v>
      </c>
      <c r="O40">
        <v>13.84</v>
      </c>
      <c r="P40">
        <v>15.97</v>
      </c>
      <c r="Q40">
        <v>23.83</v>
      </c>
      <c r="R40">
        <v>24.02</v>
      </c>
      <c r="S40">
        <v>22.49</v>
      </c>
      <c r="T40">
        <v>24.74</v>
      </c>
    </row>
    <row r="41" spans="1:20" x14ac:dyDescent="0.35">
      <c r="A41" t="s">
        <v>459</v>
      </c>
      <c r="B41">
        <v>1.8460000000000001</v>
      </c>
      <c r="C41">
        <v>1.9990000000000001</v>
      </c>
      <c r="D41">
        <v>1.7</v>
      </c>
      <c r="L41" s="164">
        <v>43862</v>
      </c>
      <c r="M41">
        <v>14.39</v>
      </c>
      <c r="N41">
        <v>14.39</v>
      </c>
      <c r="O41">
        <v>18.39</v>
      </c>
      <c r="P41">
        <v>18.559999999999999</v>
      </c>
      <c r="Q41">
        <v>26.25</v>
      </c>
      <c r="R41">
        <v>28.35</v>
      </c>
      <c r="S41">
        <v>21.92</v>
      </c>
      <c r="T41">
        <v>29.56</v>
      </c>
    </row>
    <row r="42" spans="1:20" x14ac:dyDescent="0.35">
      <c r="A42" t="s">
        <v>439</v>
      </c>
      <c r="B42">
        <v>2.141</v>
      </c>
      <c r="C42">
        <v>2.1619999999999999</v>
      </c>
      <c r="L42" s="164">
        <v>43831</v>
      </c>
      <c r="M42">
        <v>23.26</v>
      </c>
      <c r="N42">
        <v>23.26</v>
      </c>
      <c r="O42">
        <v>23.73</v>
      </c>
      <c r="P42">
        <v>26.39</v>
      </c>
      <c r="Q42">
        <v>38.01</v>
      </c>
      <c r="R42">
        <v>37.880000000000003</v>
      </c>
      <c r="S42">
        <v>35.03</v>
      </c>
      <c r="T42">
        <v>37.1</v>
      </c>
    </row>
    <row r="43" spans="1:20" x14ac:dyDescent="0.35">
      <c r="L43" s="164">
        <v>43800</v>
      </c>
      <c r="M43">
        <v>35.14</v>
      </c>
      <c r="N43">
        <v>35.14</v>
      </c>
      <c r="O43">
        <v>36.01</v>
      </c>
      <c r="P43">
        <v>36.700000000000003</v>
      </c>
      <c r="Q43">
        <v>36.46</v>
      </c>
      <c r="R43">
        <v>36.36</v>
      </c>
      <c r="S43">
        <v>31.97</v>
      </c>
      <c r="T43">
        <v>37.39</v>
      </c>
    </row>
    <row r="44" spans="1:20" x14ac:dyDescent="0.35">
      <c r="L44" s="164">
        <v>43770</v>
      </c>
      <c r="M44">
        <v>41.23</v>
      </c>
      <c r="N44">
        <v>41.23</v>
      </c>
      <c r="O44">
        <v>41.8</v>
      </c>
      <c r="P44">
        <v>42.31</v>
      </c>
      <c r="Q44">
        <v>45.94</v>
      </c>
      <c r="R44">
        <v>44.4</v>
      </c>
      <c r="S44">
        <v>41</v>
      </c>
      <c r="T44">
        <v>42.71</v>
      </c>
    </row>
    <row r="45" spans="1:20" x14ac:dyDescent="0.35">
      <c r="L45" s="164">
        <v>43739</v>
      </c>
      <c r="M45">
        <v>36.36</v>
      </c>
      <c r="N45">
        <v>36.36</v>
      </c>
      <c r="O45">
        <v>37.71</v>
      </c>
      <c r="P45">
        <v>42.09</v>
      </c>
      <c r="Q45">
        <v>38.6</v>
      </c>
      <c r="R45">
        <v>37.6</v>
      </c>
      <c r="S45">
        <v>36.94</v>
      </c>
      <c r="T45">
        <v>37.94</v>
      </c>
    </row>
    <row r="46" spans="1:20" x14ac:dyDescent="0.35">
      <c r="L46" s="164">
        <v>43709</v>
      </c>
      <c r="M46">
        <v>34.07</v>
      </c>
      <c r="N46">
        <v>34.07</v>
      </c>
      <c r="O46">
        <v>34.74</v>
      </c>
      <c r="P46">
        <v>36.56</v>
      </c>
      <c r="Q46">
        <v>35.54</v>
      </c>
      <c r="R46">
        <v>33.57</v>
      </c>
      <c r="S46">
        <v>35.75</v>
      </c>
      <c r="T46">
        <v>36.57</v>
      </c>
    </row>
    <row r="47" spans="1:20" x14ac:dyDescent="0.35">
      <c r="L47" s="164">
        <v>43678</v>
      </c>
      <c r="M47">
        <v>36.880000000000003</v>
      </c>
      <c r="N47">
        <v>36.880000000000003</v>
      </c>
      <c r="O47">
        <v>37.01</v>
      </c>
      <c r="P47">
        <v>38.64</v>
      </c>
      <c r="Q47">
        <v>33.39</v>
      </c>
      <c r="R47">
        <v>33.72</v>
      </c>
      <c r="S47">
        <v>36.85</v>
      </c>
      <c r="T47">
        <v>37.44</v>
      </c>
    </row>
    <row r="48" spans="1:20" x14ac:dyDescent="0.35">
      <c r="L48" s="164">
        <v>43647</v>
      </c>
      <c r="M48">
        <v>34.92</v>
      </c>
      <c r="N48">
        <v>34.92</v>
      </c>
      <c r="O48">
        <v>35.07</v>
      </c>
      <c r="P48">
        <v>37.340000000000003</v>
      </c>
    </row>
    <row r="49" spans="12:20" x14ac:dyDescent="0.35">
      <c r="L49" s="164">
        <v>43617</v>
      </c>
      <c r="M49">
        <v>24.47</v>
      </c>
      <c r="N49">
        <v>24.47</v>
      </c>
      <c r="O49">
        <v>24.47</v>
      </c>
      <c r="P49">
        <v>27.71</v>
      </c>
    </row>
    <row r="50" spans="12:20" x14ac:dyDescent="0.35">
      <c r="L50" s="164">
        <v>43586</v>
      </c>
      <c r="M50">
        <v>34.82</v>
      </c>
      <c r="N50">
        <v>34.82</v>
      </c>
      <c r="O50">
        <v>34.82</v>
      </c>
      <c r="P50">
        <v>36.03</v>
      </c>
    </row>
    <row r="51" spans="12:20" x14ac:dyDescent="0.35">
      <c r="L51" s="164">
        <v>43556</v>
      </c>
      <c r="M51">
        <v>39.69</v>
      </c>
      <c r="N51">
        <v>39.69</v>
      </c>
      <c r="O51">
        <v>39.69</v>
      </c>
      <c r="P51">
        <v>39.92</v>
      </c>
    </row>
    <row r="52" spans="12:20" x14ac:dyDescent="0.35">
      <c r="L52" s="164">
        <v>43525</v>
      </c>
      <c r="M52">
        <v>39.340000000000003</v>
      </c>
      <c r="N52">
        <v>39.340000000000003</v>
      </c>
      <c r="O52">
        <v>39.39</v>
      </c>
      <c r="P52">
        <v>39.54</v>
      </c>
    </row>
    <row r="53" spans="12:20" x14ac:dyDescent="0.35">
      <c r="L53" s="164">
        <v>43497</v>
      </c>
      <c r="M53">
        <v>45.19</v>
      </c>
      <c r="N53">
        <v>45.19</v>
      </c>
      <c r="O53">
        <v>45.54</v>
      </c>
      <c r="P53">
        <v>46.09</v>
      </c>
    </row>
    <row r="54" spans="12:20" x14ac:dyDescent="0.35">
      <c r="L54" s="164">
        <v>43466</v>
      </c>
      <c r="M54">
        <v>53.5</v>
      </c>
      <c r="N54">
        <v>53.5</v>
      </c>
      <c r="O54">
        <v>54.37</v>
      </c>
      <c r="P54">
        <v>54.91</v>
      </c>
    </row>
    <row r="55" spans="12:20" x14ac:dyDescent="0.35">
      <c r="L55" s="164">
        <v>43435</v>
      </c>
      <c r="M55">
        <v>50.56</v>
      </c>
      <c r="N55">
        <v>50.56</v>
      </c>
      <c r="O55">
        <v>50.81</v>
      </c>
      <c r="P55">
        <v>51.46</v>
      </c>
    </row>
    <row r="56" spans="12:20" x14ac:dyDescent="0.35">
      <c r="L56" s="164">
        <v>43405</v>
      </c>
      <c r="M56">
        <v>47.8</v>
      </c>
      <c r="N56">
        <v>47.8</v>
      </c>
      <c r="O56">
        <v>49.85</v>
      </c>
      <c r="P56">
        <v>53.93</v>
      </c>
    </row>
    <row r="58" spans="12:20" x14ac:dyDescent="0.35">
      <c r="L58" t="s">
        <v>500</v>
      </c>
      <c r="M58" s="165">
        <v>45036</v>
      </c>
    </row>
    <row r="59" spans="12:20" x14ac:dyDescent="0.35">
      <c r="M59" t="str" cm="1">
        <f t="array" ref="M59:T59">M3:T3</f>
        <v>SE1</v>
      </c>
      <c r="N59" t="str">
        <v>SE2</v>
      </c>
      <c r="O59" t="str">
        <v>SE3</v>
      </c>
      <c r="P59" t="str">
        <v>SE4</v>
      </c>
      <c r="Q59" t="str">
        <v>FR</v>
      </c>
      <c r="R59" t="str">
        <v>BE</v>
      </c>
      <c r="S59" t="str">
        <v>DE-LU</v>
      </c>
      <c r="T59" t="str">
        <v>NL</v>
      </c>
    </row>
    <row r="60" spans="12:20" x14ac:dyDescent="0.35">
      <c r="L60" t="s">
        <v>476</v>
      </c>
      <c r="M60">
        <v>39.479999999999997</v>
      </c>
      <c r="N60">
        <v>39.479999999999997</v>
      </c>
      <c r="O60">
        <v>39.479999999999997</v>
      </c>
      <c r="P60">
        <v>39.479999999999997</v>
      </c>
      <c r="Q60">
        <v>100.19</v>
      </c>
      <c r="R60">
        <v>100.19</v>
      </c>
      <c r="S60">
        <v>100.19</v>
      </c>
      <c r="T60">
        <v>100.19</v>
      </c>
    </row>
    <row r="61" spans="12:20" x14ac:dyDescent="0.35">
      <c r="L61" t="s">
        <v>477</v>
      </c>
      <c r="M61">
        <v>36.94</v>
      </c>
      <c r="N61">
        <v>36.94</v>
      </c>
      <c r="O61">
        <v>36.94</v>
      </c>
      <c r="P61">
        <v>36.94</v>
      </c>
      <c r="Q61">
        <v>94.35</v>
      </c>
      <c r="R61">
        <v>94.35</v>
      </c>
      <c r="S61">
        <v>94.35</v>
      </c>
      <c r="T61">
        <v>94.35</v>
      </c>
    </row>
    <row r="62" spans="12:20" x14ac:dyDescent="0.35">
      <c r="L62" t="s">
        <v>478</v>
      </c>
      <c r="M62">
        <v>36.17</v>
      </c>
      <c r="N62">
        <v>36.17</v>
      </c>
      <c r="O62">
        <v>36.17</v>
      </c>
      <c r="P62">
        <v>36.17</v>
      </c>
      <c r="Q62">
        <v>96.76</v>
      </c>
      <c r="R62">
        <v>96.76</v>
      </c>
      <c r="S62">
        <v>96.76</v>
      </c>
      <c r="T62">
        <v>96.76</v>
      </c>
    </row>
    <row r="63" spans="12:20" x14ac:dyDescent="0.35">
      <c r="L63" t="s">
        <v>479</v>
      </c>
      <c r="M63">
        <v>36.5</v>
      </c>
      <c r="N63">
        <v>36.5</v>
      </c>
      <c r="O63">
        <v>36.5</v>
      </c>
      <c r="P63">
        <v>36.5</v>
      </c>
      <c r="Q63">
        <v>94.98</v>
      </c>
      <c r="R63">
        <v>94.98</v>
      </c>
      <c r="S63">
        <v>94.98</v>
      </c>
      <c r="T63">
        <v>94.98</v>
      </c>
    </row>
    <row r="64" spans="12:20" x14ac:dyDescent="0.35">
      <c r="L64" t="s">
        <v>480</v>
      </c>
      <c r="M64">
        <v>39.909999999999997</v>
      </c>
      <c r="N64">
        <v>39.909999999999997</v>
      </c>
      <c r="O64">
        <v>39.909999999999997</v>
      </c>
      <c r="P64">
        <v>39.909999999999997</v>
      </c>
      <c r="Q64">
        <v>97.18</v>
      </c>
      <c r="R64">
        <v>97.18</v>
      </c>
      <c r="S64">
        <v>97.18</v>
      </c>
      <c r="T64">
        <v>97.18</v>
      </c>
    </row>
    <row r="65" spans="12:20" x14ac:dyDescent="0.35">
      <c r="L65" t="s">
        <v>481</v>
      </c>
      <c r="M65">
        <v>41.89</v>
      </c>
      <c r="N65">
        <v>41.89</v>
      </c>
      <c r="O65">
        <v>41.89</v>
      </c>
      <c r="P65">
        <v>41.89</v>
      </c>
      <c r="Q65">
        <v>102.78</v>
      </c>
      <c r="R65">
        <v>102.78</v>
      </c>
      <c r="S65">
        <v>102.78</v>
      </c>
      <c r="T65">
        <v>102.78</v>
      </c>
    </row>
    <row r="66" spans="12:20" x14ac:dyDescent="0.35">
      <c r="L66" t="s">
        <v>482</v>
      </c>
      <c r="M66">
        <v>56.2</v>
      </c>
      <c r="N66">
        <v>56.2</v>
      </c>
      <c r="O66">
        <v>56.2</v>
      </c>
      <c r="P66">
        <v>56.2</v>
      </c>
      <c r="Q66">
        <v>127.97</v>
      </c>
      <c r="R66">
        <v>127.97</v>
      </c>
      <c r="S66">
        <v>127.97</v>
      </c>
      <c r="T66">
        <v>127.97</v>
      </c>
    </row>
    <row r="67" spans="12:20" x14ac:dyDescent="0.35">
      <c r="L67" t="s">
        <v>483</v>
      </c>
      <c r="M67">
        <v>64.819999999999993</v>
      </c>
      <c r="N67">
        <v>64.819999999999993</v>
      </c>
      <c r="O67">
        <v>68.040000000000006</v>
      </c>
      <c r="P67">
        <v>68.040000000000006</v>
      </c>
      <c r="Q67">
        <v>144.47999999999999</v>
      </c>
      <c r="R67">
        <v>144.47999999999999</v>
      </c>
      <c r="S67">
        <v>144.47999999999999</v>
      </c>
      <c r="T67">
        <v>144.47999999999999</v>
      </c>
    </row>
    <row r="68" spans="12:20" x14ac:dyDescent="0.35">
      <c r="L68" t="s">
        <v>484</v>
      </c>
      <c r="M68">
        <v>70.08</v>
      </c>
      <c r="N68">
        <v>70.08</v>
      </c>
      <c r="O68">
        <v>70.08</v>
      </c>
      <c r="P68">
        <v>70.08</v>
      </c>
      <c r="Q68">
        <v>144.69999999999999</v>
      </c>
      <c r="R68">
        <v>144.69999999999999</v>
      </c>
      <c r="S68">
        <v>144.69999999999999</v>
      </c>
      <c r="T68">
        <v>144.69999999999999</v>
      </c>
    </row>
    <row r="69" spans="12:20" x14ac:dyDescent="0.35">
      <c r="L69" t="s">
        <v>485</v>
      </c>
      <c r="M69">
        <v>69.92</v>
      </c>
      <c r="N69">
        <v>69.92</v>
      </c>
      <c r="O69">
        <v>69.92</v>
      </c>
      <c r="P69">
        <v>69.92</v>
      </c>
      <c r="Q69">
        <v>130.07</v>
      </c>
      <c r="R69">
        <v>130.07</v>
      </c>
      <c r="S69">
        <v>130.09</v>
      </c>
      <c r="T69">
        <v>130.04</v>
      </c>
    </row>
    <row r="70" spans="12:20" x14ac:dyDescent="0.35">
      <c r="L70" t="s">
        <v>486</v>
      </c>
      <c r="M70">
        <v>69.28</v>
      </c>
      <c r="N70">
        <v>69.28</v>
      </c>
      <c r="O70">
        <v>69.28</v>
      </c>
      <c r="P70">
        <v>69.28</v>
      </c>
      <c r="Q70">
        <v>108.21</v>
      </c>
      <c r="R70">
        <v>107.97</v>
      </c>
      <c r="S70">
        <v>108.33</v>
      </c>
      <c r="T70">
        <v>102.2</v>
      </c>
    </row>
    <row r="71" spans="12:20" x14ac:dyDescent="0.35">
      <c r="L71" t="s">
        <v>487</v>
      </c>
      <c r="M71">
        <v>58.87</v>
      </c>
      <c r="N71">
        <v>58.87</v>
      </c>
      <c r="O71">
        <v>58.87</v>
      </c>
      <c r="P71">
        <v>58.87</v>
      </c>
      <c r="Q71">
        <v>96.94</v>
      </c>
      <c r="R71">
        <v>96.94</v>
      </c>
      <c r="S71">
        <v>96.94</v>
      </c>
      <c r="T71">
        <v>96.94</v>
      </c>
    </row>
    <row r="72" spans="12:20" x14ac:dyDescent="0.35">
      <c r="L72" t="s">
        <v>488</v>
      </c>
      <c r="M72">
        <v>55.82</v>
      </c>
      <c r="N72">
        <v>55.82</v>
      </c>
      <c r="O72">
        <v>55.82</v>
      </c>
      <c r="P72">
        <v>55.82</v>
      </c>
      <c r="Q72">
        <v>94.23</v>
      </c>
      <c r="R72">
        <v>94.23</v>
      </c>
      <c r="S72">
        <v>94.23</v>
      </c>
      <c r="T72">
        <v>94.23</v>
      </c>
    </row>
    <row r="73" spans="12:20" x14ac:dyDescent="0.35">
      <c r="L73" t="s">
        <v>489</v>
      </c>
      <c r="M73">
        <v>51.25</v>
      </c>
      <c r="N73">
        <v>51.25</v>
      </c>
      <c r="O73">
        <v>51.25</v>
      </c>
      <c r="P73">
        <v>51.25</v>
      </c>
      <c r="Q73">
        <v>89.61</v>
      </c>
      <c r="R73">
        <v>89.61</v>
      </c>
      <c r="S73">
        <v>89.61</v>
      </c>
      <c r="T73">
        <v>89.61</v>
      </c>
    </row>
    <row r="74" spans="12:20" x14ac:dyDescent="0.35">
      <c r="L74" t="s">
        <v>490</v>
      </c>
      <c r="M74">
        <v>48.05</v>
      </c>
      <c r="N74">
        <v>48.05</v>
      </c>
      <c r="O74">
        <v>48.05</v>
      </c>
      <c r="P74">
        <v>48.05</v>
      </c>
      <c r="Q74">
        <v>88.71</v>
      </c>
      <c r="R74">
        <v>88.71</v>
      </c>
      <c r="S74">
        <v>88.71</v>
      </c>
      <c r="T74">
        <v>88.71</v>
      </c>
    </row>
    <row r="75" spans="12:20" x14ac:dyDescent="0.35">
      <c r="L75" t="s">
        <v>491</v>
      </c>
      <c r="M75">
        <v>48.08</v>
      </c>
      <c r="N75">
        <v>48.08</v>
      </c>
      <c r="O75">
        <v>48.08</v>
      </c>
      <c r="P75">
        <v>48.08</v>
      </c>
      <c r="Q75">
        <v>86.72</v>
      </c>
      <c r="R75">
        <v>86.68</v>
      </c>
      <c r="S75">
        <v>86.76</v>
      </c>
      <c r="T75">
        <v>86.68</v>
      </c>
    </row>
    <row r="76" spans="12:20" x14ac:dyDescent="0.35">
      <c r="L76" t="s">
        <v>492</v>
      </c>
      <c r="M76">
        <v>50.01</v>
      </c>
      <c r="N76">
        <v>50.01</v>
      </c>
      <c r="O76">
        <v>50.01</v>
      </c>
      <c r="P76">
        <v>50.01</v>
      </c>
      <c r="Q76">
        <v>92.09</v>
      </c>
      <c r="R76">
        <v>92.09</v>
      </c>
      <c r="S76">
        <v>92.09</v>
      </c>
      <c r="T76">
        <v>92.09</v>
      </c>
    </row>
    <row r="77" spans="12:20" x14ac:dyDescent="0.35">
      <c r="L77" t="s">
        <v>493</v>
      </c>
      <c r="M77">
        <v>58.94</v>
      </c>
      <c r="N77">
        <v>58.94</v>
      </c>
      <c r="O77">
        <v>58.94</v>
      </c>
      <c r="P77">
        <v>58.94</v>
      </c>
      <c r="Q77">
        <v>103.76</v>
      </c>
      <c r="R77">
        <v>103.76</v>
      </c>
      <c r="S77">
        <v>103.76</v>
      </c>
      <c r="T77">
        <v>103.76</v>
      </c>
    </row>
    <row r="78" spans="12:20" x14ac:dyDescent="0.35">
      <c r="L78" t="s">
        <v>494</v>
      </c>
      <c r="M78">
        <v>61.58</v>
      </c>
      <c r="N78">
        <v>61.58</v>
      </c>
      <c r="O78">
        <v>61.58</v>
      </c>
      <c r="P78">
        <v>61.58</v>
      </c>
      <c r="Q78">
        <v>128.99</v>
      </c>
      <c r="R78">
        <v>128.99</v>
      </c>
      <c r="S78">
        <v>128.99</v>
      </c>
      <c r="T78">
        <v>128.99</v>
      </c>
    </row>
    <row r="79" spans="12:20" x14ac:dyDescent="0.35">
      <c r="L79" t="s">
        <v>495</v>
      </c>
      <c r="M79">
        <v>59.9</v>
      </c>
      <c r="N79">
        <v>59.9</v>
      </c>
      <c r="O79">
        <v>59.9</v>
      </c>
      <c r="P79">
        <v>59.9</v>
      </c>
      <c r="Q79">
        <v>142.46</v>
      </c>
      <c r="R79">
        <v>142.1</v>
      </c>
      <c r="S79">
        <v>142.63999999999999</v>
      </c>
      <c r="T79">
        <v>142.46</v>
      </c>
    </row>
    <row r="80" spans="12:20" x14ac:dyDescent="0.35">
      <c r="L80" t="s">
        <v>496</v>
      </c>
      <c r="M80">
        <v>56.23</v>
      </c>
      <c r="N80">
        <v>56.23</v>
      </c>
      <c r="O80">
        <v>56.23</v>
      </c>
      <c r="P80">
        <v>56.23</v>
      </c>
      <c r="Q80">
        <v>147.08000000000001</v>
      </c>
      <c r="R80">
        <v>146.44999999999999</v>
      </c>
      <c r="S80">
        <v>147.41999999999999</v>
      </c>
      <c r="T80">
        <v>147.06</v>
      </c>
    </row>
    <row r="81" spans="12:20" x14ac:dyDescent="0.35">
      <c r="L81" t="s">
        <v>497</v>
      </c>
      <c r="M81">
        <v>47.09</v>
      </c>
      <c r="N81">
        <v>47.09</v>
      </c>
      <c r="O81">
        <v>47.09</v>
      </c>
      <c r="P81">
        <v>52.2</v>
      </c>
      <c r="Q81">
        <v>141.33000000000001</v>
      </c>
      <c r="R81">
        <v>134.57</v>
      </c>
      <c r="S81">
        <v>145.33000000000001</v>
      </c>
      <c r="T81">
        <v>139.24</v>
      </c>
    </row>
    <row r="82" spans="12:20" x14ac:dyDescent="0.35">
      <c r="L82" t="s">
        <v>498</v>
      </c>
      <c r="M82">
        <v>40.72</v>
      </c>
      <c r="N82">
        <v>40.72</v>
      </c>
      <c r="O82">
        <v>40.72</v>
      </c>
      <c r="P82">
        <v>40.72</v>
      </c>
      <c r="Q82">
        <v>134.08000000000001</v>
      </c>
      <c r="R82">
        <v>129.18</v>
      </c>
      <c r="S82">
        <v>132.25</v>
      </c>
      <c r="T82">
        <v>125</v>
      </c>
    </row>
    <row r="83" spans="12:20" x14ac:dyDescent="0.35">
      <c r="L83" t="s">
        <v>499</v>
      </c>
      <c r="M83">
        <v>32.6</v>
      </c>
      <c r="N83">
        <v>32.6</v>
      </c>
      <c r="O83">
        <v>32.6</v>
      </c>
      <c r="P83">
        <v>32.6</v>
      </c>
      <c r="Q83">
        <v>123.6</v>
      </c>
      <c r="R83">
        <v>106.21</v>
      </c>
      <c r="S83">
        <v>127.72</v>
      </c>
      <c r="T83">
        <v>115.86</v>
      </c>
    </row>
  </sheetData>
  <sortState xmlns:xlrd2="http://schemas.microsoft.com/office/spreadsheetml/2017/richdata2" ref="A2:D42">
    <sortCondition ref="C2:C42"/>
  </sortState>
  <hyperlinks>
    <hyperlink ref="F2" r:id="rId1" xr:uid="{BBAA9C78-AB16-42F2-AE09-30A4D2EEA60C}"/>
  </hyperlinks>
  <pageMargins left="0.7" right="0.7" top="0.75" bottom="0.75" header="0.3" footer="0.3"/>
  <pageSetup paperSize="9"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EA263-1B64-4F0E-9DB7-95A3B95B895D}">
  <dimension ref="A1:AI25"/>
  <sheetViews>
    <sheetView workbookViewId="0">
      <selection activeCell="G23" sqref="G23"/>
    </sheetView>
  </sheetViews>
  <sheetFormatPr defaultColWidth="8.7265625" defaultRowHeight="12" x14ac:dyDescent="0.3"/>
  <cols>
    <col min="1" max="1" width="18.08984375" style="177" customWidth="1"/>
    <col min="2" max="31" width="4.26953125" style="177" customWidth="1"/>
    <col min="32" max="33" width="5.08984375" style="177" customWidth="1"/>
    <col min="34" max="16384" width="8.7265625" style="177"/>
  </cols>
  <sheetData>
    <row r="1" spans="1:35" x14ac:dyDescent="0.3">
      <c r="A1" s="177" t="s">
        <v>1</v>
      </c>
      <c r="B1" s="178">
        <v>0.65</v>
      </c>
    </row>
    <row r="2" spans="1:35" x14ac:dyDescent="0.3">
      <c r="A2" s="177" t="s">
        <v>517</v>
      </c>
      <c r="B2" s="177">
        <v>16</v>
      </c>
    </row>
    <row r="3" spans="1:35" x14ac:dyDescent="0.3">
      <c r="A3" s="177" t="s">
        <v>519</v>
      </c>
      <c r="B3" s="178">
        <v>0.8</v>
      </c>
    </row>
    <row r="7" spans="1:35" x14ac:dyDescent="0.3">
      <c r="B7" s="178"/>
    </row>
    <row r="8" spans="1:35" x14ac:dyDescent="0.3">
      <c r="A8" s="177" t="s">
        <v>516</v>
      </c>
      <c r="B8" s="177">
        <v>1</v>
      </c>
      <c r="C8" s="177">
        <v>2</v>
      </c>
      <c r="D8" s="177">
        <v>3</v>
      </c>
      <c r="E8" s="177">
        <v>4</v>
      </c>
      <c r="F8" s="177">
        <v>5</v>
      </c>
      <c r="G8" s="177">
        <v>6</v>
      </c>
      <c r="H8" s="177">
        <v>7</v>
      </c>
      <c r="I8" s="177">
        <v>8</v>
      </c>
      <c r="J8" s="177">
        <v>9</v>
      </c>
      <c r="K8" s="177">
        <v>10</v>
      </c>
      <c r="L8" s="177">
        <v>11</v>
      </c>
      <c r="M8" s="177">
        <v>12</v>
      </c>
      <c r="N8" s="177">
        <v>13</v>
      </c>
      <c r="O8" s="177">
        <v>14</v>
      </c>
      <c r="P8" s="177">
        <v>15</v>
      </c>
      <c r="Q8" s="177">
        <v>16</v>
      </c>
      <c r="R8" s="177">
        <v>17</v>
      </c>
      <c r="S8" s="177">
        <v>18</v>
      </c>
      <c r="T8" s="177">
        <v>19</v>
      </c>
      <c r="U8" s="177">
        <v>20</v>
      </c>
      <c r="V8" s="177">
        <v>21</v>
      </c>
      <c r="W8" s="177">
        <v>22</v>
      </c>
      <c r="X8" s="177">
        <v>23</v>
      </c>
      <c r="Y8" s="177">
        <v>24</v>
      </c>
      <c r="Z8" s="177">
        <v>25</v>
      </c>
      <c r="AA8" s="177">
        <v>26</v>
      </c>
      <c r="AB8" s="177">
        <v>27</v>
      </c>
      <c r="AC8" s="177">
        <v>28</v>
      </c>
      <c r="AD8" s="177">
        <v>29</v>
      </c>
      <c r="AE8" s="177">
        <v>30</v>
      </c>
    </row>
    <row r="9" spans="1:35" x14ac:dyDescent="0.3">
      <c r="A9" s="177" t="s">
        <v>518</v>
      </c>
      <c r="B9" s="179" cm="1">
        <f t="array" ref="B9:AE9">1-5*POWER(B8:AE8*(1-$B$3)/$B$2,2)</f>
        <v>0.99921875000000004</v>
      </c>
      <c r="C9" s="179">
        <v>0.99687499999999996</v>
      </c>
      <c r="D9" s="179">
        <v>0.99296874999999996</v>
      </c>
      <c r="E9" s="179">
        <v>0.98750000000000004</v>
      </c>
      <c r="F9" s="179">
        <v>0.98046875</v>
      </c>
      <c r="G9" s="179">
        <v>0.97187500000000004</v>
      </c>
      <c r="H9" s="179">
        <v>0.96171875000000007</v>
      </c>
      <c r="I9" s="179">
        <v>0.95000000000000007</v>
      </c>
      <c r="J9" s="179">
        <v>0.93671875000000004</v>
      </c>
      <c r="K9" s="179">
        <v>0.921875</v>
      </c>
      <c r="L9" s="179">
        <v>0.90546875000000004</v>
      </c>
      <c r="M9" s="179">
        <v>0.88750000000000007</v>
      </c>
      <c r="N9" s="179">
        <v>0.86796875000000007</v>
      </c>
      <c r="O9" s="179">
        <v>0.84687500000000004</v>
      </c>
      <c r="P9" s="179">
        <v>0.82421875000000011</v>
      </c>
      <c r="Q9" s="179">
        <v>0.8</v>
      </c>
      <c r="R9" s="179">
        <v>0.77421875000000007</v>
      </c>
      <c r="S9" s="179">
        <v>0.74687500000000018</v>
      </c>
      <c r="T9" s="179">
        <v>0.71796875000000016</v>
      </c>
      <c r="U9" s="179">
        <v>0.68750000000000011</v>
      </c>
      <c r="V9" s="179">
        <v>0.65546875000000016</v>
      </c>
      <c r="W9" s="179">
        <v>0.62187500000000018</v>
      </c>
      <c r="X9" s="179">
        <v>0.58671875000000018</v>
      </c>
      <c r="Y9" s="179">
        <v>0.55000000000000027</v>
      </c>
      <c r="Z9" s="179">
        <v>0.51171875000000011</v>
      </c>
      <c r="AA9" s="179">
        <v>0.47187500000000016</v>
      </c>
      <c r="AB9" s="179">
        <v>0.43046875000000029</v>
      </c>
      <c r="AC9" s="179">
        <v>0.38750000000000029</v>
      </c>
      <c r="AD9" s="179">
        <v>0.34296875000000027</v>
      </c>
      <c r="AE9" s="179">
        <v>0.29687500000000044</v>
      </c>
    </row>
    <row r="10" spans="1:35" x14ac:dyDescent="0.3">
      <c r="A10" s="177" t="s">
        <v>525</v>
      </c>
      <c r="B10" s="179" cm="1">
        <f t="array" ref="B10:AE10">POWER(_xlfn.ANCHORARRAY(B9),2)</f>
        <v>0.9984381103515626</v>
      </c>
      <c r="C10" s="179">
        <v>0.9937597656249999</v>
      </c>
      <c r="D10" s="179">
        <v>0.98598693847656238</v>
      </c>
      <c r="E10" s="179">
        <v>0.97515625000000006</v>
      </c>
      <c r="F10" s="179">
        <v>0.9613189697265625</v>
      </c>
      <c r="G10" s="179">
        <v>0.94454101562500004</v>
      </c>
      <c r="H10" s="179">
        <v>0.92490295410156265</v>
      </c>
      <c r="I10" s="179">
        <v>0.90250000000000008</v>
      </c>
      <c r="J10" s="179">
        <v>0.87744201660156262</v>
      </c>
      <c r="K10" s="179">
        <v>0.849853515625</v>
      </c>
      <c r="L10" s="179">
        <v>0.81987365722656258</v>
      </c>
      <c r="M10" s="179">
        <v>0.78765625000000017</v>
      </c>
      <c r="N10" s="179">
        <v>0.75336975097656267</v>
      </c>
      <c r="O10" s="179">
        <v>0.71719726562500008</v>
      </c>
      <c r="P10" s="179">
        <v>0.67933654785156272</v>
      </c>
      <c r="Q10" s="179">
        <v>0.64000000000000012</v>
      </c>
      <c r="R10" s="179">
        <v>0.59941467285156258</v>
      </c>
      <c r="S10" s="179">
        <v>0.55782226562500026</v>
      </c>
      <c r="T10" s="179">
        <v>0.51547912597656276</v>
      </c>
      <c r="U10" s="179">
        <v>0.47265625000000017</v>
      </c>
      <c r="V10" s="179">
        <v>0.42963928222656272</v>
      </c>
      <c r="W10" s="179">
        <v>0.38672851562500021</v>
      </c>
      <c r="X10" s="179">
        <v>0.34423889160156274</v>
      </c>
      <c r="Y10" s="179">
        <v>0.30250000000000027</v>
      </c>
      <c r="Z10" s="179">
        <v>0.26185607910156261</v>
      </c>
      <c r="AA10" s="179">
        <v>0.22266601562500016</v>
      </c>
      <c r="AB10" s="179">
        <v>0.18530334472656274</v>
      </c>
      <c r="AC10" s="179">
        <v>0.15015625000000021</v>
      </c>
      <c r="AD10" s="179">
        <v>0.11762756347656268</v>
      </c>
      <c r="AE10" s="179">
        <v>8.8134765625000264E-2</v>
      </c>
    </row>
    <row r="11" spans="1:35" x14ac:dyDescent="0.3">
      <c r="A11" s="177" t="s">
        <v>520</v>
      </c>
      <c r="B11" s="180" cm="1">
        <f t="array" ref="B11:AE11">1-(1-B1)*_xlfn.ANCHORARRAY(B10)</f>
        <v>0.65054666137695305</v>
      </c>
      <c r="C11" s="179">
        <v>0.65218408203125011</v>
      </c>
      <c r="D11" s="179">
        <v>0.65490457153320314</v>
      </c>
      <c r="E11" s="179">
        <v>0.65869531250000002</v>
      </c>
      <c r="F11" s="179">
        <v>0.66353836059570315</v>
      </c>
      <c r="G11" s="179">
        <v>0.66941064453124999</v>
      </c>
      <c r="H11" s="179">
        <v>0.67628396606445307</v>
      </c>
      <c r="I11" s="179">
        <v>0.68412499999999998</v>
      </c>
      <c r="J11" s="179">
        <v>0.69289529418945306</v>
      </c>
      <c r="K11" s="179">
        <v>0.70255126953125002</v>
      </c>
      <c r="L11" s="179">
        <v>0.71304421997070311</v>
      </c>
      <c r="M11" s="179">
        <v>0.72432031249999995</v>
      </c>
      <c r="N11" s="179">
        <v>0.73632058715820303</v>
      </c>
      <c r="O11" s="179">
        <v>0.74898095703125001</v>
      </c>
      <c r="P11" s="179">
        <v>0.76223220825195304</v>
      </c>
      <c r="Q11" s="179">
        <v>0.77600000000000002</v>
      </c>
      <c r="R11" s="179">
        <v>0.79020486450195304</v>
      </c>
      <c r="S11" s="179">
        <v>0.8047622070312499</v>
      </c>
      <c r="T11" s="179">
        <v>0.81958230590820302</v>
      </c>
      <c r="U11" s="179">
        <v>0.83457031249999991</v>
      </c>
      <c r="V11" s="179">
        <v>0.84962625122070312</v>
      </c>
      <c r="W11" s="179">
        <v>0.86464501953124995</v>
      </c>
      <c r="X11" s="179">
        <v>0.87951638793945308</v>
      </c>
      <c r="Y11" s="179">
        <v>0.89412499999999995</v>
      </c>
      <c r="Z11" s="179">
        <v>0.90835037231445304</v>
      </c>
      <c r="AA11" s="179">
        <v>0.9220668945312499</v>
      </c>
      <c r="AB11" s="179">
        <v>0.93514382934570306</v>
      </c>
      <c r="AC11" s="179">
        <v>0.94744531249999997</v>
      </c>
      <c r="AD11" s="179">
        <v>0.95883035278320305</v>
      </c>
      <c r="AE11" s="179">
        <v>0.96915283203124991</v>
      </c>
    </row>
    <row r="12" spans="1:35" x14ac:dyDescent="0.3">
      <c r="A12" s="177" t="s">
        <v>521</v>
      </c>
      <c r="B12" s="179" cm="1">
        <f t="array" ref="B12:AE12">_xlfn.ANCHORARRAY(B9)*_xlfn.ANCHORARRAY(B11)/B1</f>
        <v>1.0000591104580805</v>
      </c>
      <c r="C12" s="179">
        <v>1.0002246258075422</v>
      </c>
      <c r="D12" s="179">
        <v>1.0004611904070926</v>
      </c>
      <c r="E12" s="179">
        <v>1.000710186298077</v>
      </c>
      <c r="F12" s="179">
        <v>1.0008901953697205</v>
      </c>
      <c r="G12" s="179">
        <v>1.0008976463904746</v>
      </c>
      <c r="H12" s="179">
        <v>1.0006076469054588</v>
      </c>
      <c r="I12" s="179">
        <v>0.99987499999999996</v>
      </c>
      <c r="J12" s="179">
        <v>0.99853540592927192</v>
      </c>
      <c r="K12" s="179">
        <v>0.9964068486140325</v>
      </c>
      <c r="L12" s="179">
        <v>0.9932911670024579</v>
      </c>
      <c r="M12" s="179">
        <v>0.98897581129807688</v>
      </c>
      <c r="N12" s="179">
        <v>0.98323578405380241</v>
      </c>
      <c r="O12" s="179">
        <v>0.97583576613206124</v>
      </c>
      <c r="P12" s="179">
        <v>0.96653242753102231</v>
      </c>
      <c r="Q12" s="179">
        <v>0.95507692307692305</v>
      </c>
      <c r="R12" s="179">
        <v>0.94121757298249453</v>
      </c>
      <c r="S12" s="179">
        <v>0.92470272827148448</v>
      </c>
      <c r="T12" s="179">
        <v>0.90528382106927729</v>
      </c>
      <c r="U12" s="179">
        <v>0.88271859975961542</v>
      </c>
      <c r="V12" s="179">
        <v>0.8567745490074159</v>
      </c>
      <c r="W12" s="179">
        <v>0.82723249464768656</v>
      </c>
      <c r="X12" s="179">
        <v>0.79389039344054013</v>
      </c>
      <c r="Y12" s="179">
        <v>0.75656730769230796</v>
      </c>
      <c r="Z12" s="179">
        <v>0.71510756474274861</v>
      </c>
      <c r="AA12" s="179">
        <v>0.66938510131835949</v>
      </c>
      <c r="AB12" s="179">
        <v>0.61930799275178205</v>
      </c>
      <c r="AC12" s="179">
        <v>0.56482316706730806</v>
      </c>
      <c r="AD12" s="179">
        <v>0.50592130393248369</v>
      </c>
      <c r="AE12" s="179">
        <v>0.44264191847581191</v>
      </c>
    </row>
    <row r="14" spans="1:35" x14ac:dyDescent="0.3">
      <c r="AI14" s="177" t="s">
        <v>528</v>
      </c>
    </row>
    <row r="15" spans="1:35" x14ac:dyDescent="0.3">
      <c r="A15" s="177" t="s">
        <v>524</v>
      </c>
      <c r="B15" s="179" cm="1">
        <f t="array" ref="B15:AE15">_xlfn.ANCHORARRAY(B9)/2</f>
        <v>0.49960937500000002</v>
      </c>
      <c r="C15" s="179">
        <v>0.49843749999999998</v>
      </c>
      <c r="D15" s="179">
        <v>0.49648437499999998</v>
      </c>
      <c r="E15" s="179">
        <v>0.49375000000000002</v>
      </c>
      <c r="F15" s="179">
        <v>0.490234375</v>
      </c>
      <c r="G15" s="179">
        <v>0.48593750000000002</v>
      </c>
      <c r="H15" s="179">
        <v>0.48085937500000003</v>
      </c>
      <c r="I15" s="179">
        <v>0.47500000000000003</v>
      </c>
      <c r="J15" s="179">
        <v>0.46835937500000002</v>
      </c>
      <c r="K15" s="179">
        <v>0.4609375</v>
      </c>
      <c r="L15" s="179">
        <v>0.45273437500000002</v>
      </c>
      <c r="M15" s="179">
        <v>0.44375000000000003</v>
      </c>
      <c r="N15" s="179">
        <v>0.43398437500000003</v>
      </c>
      <c r="O15" s="179">
        <v>0.42343750000000002</v>
      </c>
      <c r="P15" s="179">
        <v>0.41210937500000006</v>
      </c>
      <c r="Q15" s="179">
        <v>0.4</v>
      </c>
      <c r="R15" s="179">
        <v>0.38710937500000003</v>
      </c>
      <c r="S15" s="179">
        <v>0.37343750000000009</v>
      </c>
      <c r="T15" s="179">
        <v>0.35898437500000008</v>
      </c>
      <c r="U15" s="179">
        <v>0.34375000000000006</v>
      </c>
      <c r="V15" s="179">
        <v>0.32773437500000008</v>
      </c>
      <c r="W15" s="179">
        <v>0.31093750000000009</v>
      </c>
      <c r="X15" s="179">
        <v>0.29335937500000009</v>
      </c>
      <c r="Y15" s="179">
        <v>0.27500000000000013</v>
      </c>
      <c r="Z15" s="179">
        <v>0.25585937500000006</v>
      </c>
      <c r="AA15" s="179">
        <v>0.23593750000000008</v>
      </c>
      <c r="AB15" s="179">
        <v>0.21523437500000014</v>
      </c>
      <c r="AC15" s="179">
        <v>0.19375000000000014</v>
      </c>
      <c r="AD15" s="179">
        <v>0.17148437500000013</v>
      </c>
      <c r="AE15" s="179">
        <v>0.14843750000000022</v>
      </c>
    </row>
    <row r="16" spans="1:35" x14ac:dyDescent="0.3">
      <c r="A16" s="177" t="s">
        <v>522</v>
      </c>
      <c r="B16" s="181" cm="1">
        <f t="array" ref="B16:AE16">_xlfn.ANCHORARRAY(B15)+_xlfn.ANCHORARRAY(B9)*_xlfn.ANCHORARRAY(B11)/2</f>
        <v>0.82462858589887622</v>
      </c>
      <c r="C16" s="177">
        <v>0.82351050338745124</v>
      </c>
      <c r="D16" s="177">
        <v>0.82163426188230515</v>
      </c>
      <c r="E16" s="177">
        <v>0.81898081054687499</v>
      </c>
      <c r="F16" s="177">
        <v>0.8155236884951591</v>
      </c>
      <c r="G16" s="177">
        <v>0.81122923507690436</v>
      </c>
      <c r="H16" s="177">
        <v>0.80605686024427414</v>
      </c>
      <c r="I16" s="177">
        <v>0.79995937500000003</v>
      </c>
      <c r="J16" s="177">
        <v>0.79288338192701335</v>
      </c>
      <c r="K16" s="177">
        <v>0.7847697257995605</v>
      </c>
      <c r="L16" s="177">
        <v>0.7755540042757989</v>
      </c>
      <c r="M16" s="177">
        <v>0.76516713867187502</v>
      </c>
      <c r="N16" s="177">
        <v>0.75353600481748584</v>
      </c>
      <c r="O16" s="177">
        <v>0.74058412399291995</v>
      </c>
      <c r="P16" s="177">
        <v>0.72623241394758231</v>
      </c>
      <c r="Q16" s="177">
        <v>0.71040000000000003</v>
      </c>
      <c r="R16" s="177">
        <v>0.69300508621931078</v>
      </c>
      <c r="S16" s="177">
        <v>0.67396588668823254</v>
      </c>
      <c r="T16" s="177">
        <v>0.65320161684751521</v>
      </c>
      <c r="U16" s="177">
        <v>0.63063354492187507</v>
      </c>
      <c r="V16" s="177">
        <v>0.60618610342741031</v>
      </c>
      <c r="W16" s="177">
        <v>0.57978806076049816</v>
      </c>
      <c r="X16" s="177">
        <v>0.55137375286817569</v>
      </c>
      <c r="Y16" s="177">
        <v>0.52088437500000029</v>
      </c>
      <c r="Z16" s="177">
        <v>0.48826933354139335</v>
      </c>
      <c r="AA16" s="177">
        <v>0.4534876579284669</v>
      </c>
      <c r="AB16" s="177">
        <v>0.41650947264432936</v>
      </c>
      <c r="AC16" s="177">
        <v>0.37731752929687529</v>
      </c>
      <c r="AD16" s="177">
        <v>0.33590879877805735</v>
      </c>
      <c r="AE16" s="177">
        <v>0.29229612350463907</v>
      </c>
    </row>
    <row r="17" spans="1:31" x14ac:dyDescent="0.3">
      <c r="A17" s="177" t="s">
        <v>523</v>
      </c>
      <c r="B17" s="181" cm="1">
        <f t="array" ref="B17:AE17">_xlfn.ANCHORARRAY(B15)-_xlfn.ANCHORARRAY(B9)*_xlfn.ANCHORARRAY(B11)/2</f>
        <v>0.17459016410112388</v>
      </c>
      <c r="C17" s="177">
        <v>0.17336449661254877</v>
      </c>
      <c r="D17" s="177">
        <v>0.17133448811769486</v>
      </c>
      <c r="E17" s="177">
        <v>0.168519189453125</v>
      </c>
      <c r="F17" s="177">
        <v>0.16494506150484084</v>
      </c>
      <c r="G17" s="177">
        <v>0.16064576492309574</v>
      </c>
      <c r="H17" s="177">
        <v>0.15566188975572592</v>
      </c>
      <c r="I17" s="177">
        <v>0.15004062500000004</v>
      </c>
      <c r="J17" s="177">
        <v>0.14383536807298664</v>
      </c>
      <c r="K17" s="177">
        <v>0.13710527420043944</v>
      </c>
      <c r="L17" s="177">
        <v>0.1299147457242012</v>
      </c>
      <c r="M17" s="177">
        <v>0.12233286132812504</v>
      </c>
      <c r="N17" s="177">
        <v>0.11443274518251423</v>
      </c>
      <c r="O17" s="177">
        <v>0.10629087600708009</v>
      </c>
      <c r="P17" s="177">
        <v>9.79863360524178E-2</v>
      </c>
      <c r="Q17" s="177">
        <v>8.9600000000000013E-2</v>
      </c>
      <c r="R17" s="177">
        <v>8.1213663780689282E-2</v>
      </c>
      <c r="S17" s="177">
        <v>7.2909113311767637E-2</v>
      </c>
      <c r="T17" s="177">
        <v>6.4767133152484946E-2</v>
      </c>
      <c r="U17" s="177">
        <v>5.6866455078125044E-2</v>
      </c>
      <c r="V17" s="177">
        <v>4.9282646572589905E-2</v>
      </c>
      <c r="W17" s="177">
        <v>4.2086939239501964E-2</v>
      </c>
      <c r="X17" s="177">
        <v>3.534499713182454E-2</v>
      </c>
      <c r="Y17" s="177">
        <v>2.9115625000000034E-2</v>
      </c>
      <c r="Z17" s="177">
        <v>2.3449416458606737E-2</v>
      </c>
      <c r="AA17" s="177">
        <v>1.8387342071533225E-2</v>
      </c>
      <c r="AB17" s="177">
        <v>1.3959277355670957E-2</v>
      </c>
      <c r="AC17" s="177">
        <v>1.0182470703125002E-2</v>
      </c>
      <c r="AD17" s="177">
        <v>7.0599512219429172E-3</v>
      </c>
      <c r="AE17" s="177">
        <v>4.5788764953613448E-3</v>
      </c>
    </row>
    <row r="21" spans="1:31" x14ac:dyDescent="0.3">
      <c r="B21" s="177" cm="1">
        <f t="array" ref="B21">SUM(1*(_xlfn.ANCHORARRAY(B9)&gt;=B3))/SUM(1*(_xlfn.ANCHORARRAY(B12)&gt;=B3))</f>
        <v>0.72727272727272729</v>
      </c>
    </row>
    <row r="22" spans="1:31" x14ac:dyDescent="0.3">
      <c r="B22" s="177">
        <f>B1/B21</f>
        <v>0.89375000000000004</v>
      </c>
    </row>
    <row r="23" spans="1:31" x14ac:dyDescent="0.3">
      <c r="B23" s="177" cm="1">
        <f t="array" ref="B23">SUM(1*(_xlfn.ANCHORARRAY(B9)&gt;=B3))</f>
        <v>16</v>
      </c>
    </row>
    <row r="24" spans="1:31" x14ac:dyDescent="0.3">
      <c r="B24" s="177" cm="1">
        <f t="array" ref="B24">SUM(1*(_xlfn.ANCHORARRAY(B12)&gt;=B3))</f>
        <v>22</v>
      </c>
    </row>
    <row r="25" spans="1:31" x14ac:dyDescent="0.3">
      <c r="B25" s="177">
        <f>B23/(1-(1-B1)*0.7)</f>
        <v>21.192052980132452</v>
      </c>
    </row>
  </sheetData>
  <conditionalFormatting sqref="B9:AE9 B12:AE12">
    <cfRule type="cellIs" dxfId="0" priority="1" operator="greaterThanOrEqual">
      <formula>$B$3</formula>
    </cfRule>
  </conditionalFormatting>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C4C20FF6E0ED964B94148C604FEAA8F1" ma:contentTypeVersion="10" ma:contentTypeDescription="Skapa ett nytt dokument." ma:contentTypeScope="" ma:versionID="c8e5e0fd2ff7efc3e51150e4c3d8fe38">
  <xsd:schema xmlns:xsd="http://www.w3.org/2001/XMLSchema" xmlns:xs="http://www.w3.org/2001/XMLSchema" xmlns:p="http://schemas.microsoft.com/office/2006/metadata/properties" xmlns:ns2="fd5d7520-0436-4075-8c9f-ec8533609ab6" targetNamespace="http://schemas.microsoft.com/office/2006/metadata/properties" ma:root="true" ma:fieldsID="04779933482857fcff37e4b1d7fbc7f5" ns2:_="">
    <xsd:import namespace="fd5d7520-0436-4075-8c9f-ec8533609ab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5d7520-0436-4075-8c9f-ec8533609a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F6D86AB-7615-4BE6-93FB-B3C4F307FA76}">
  <ds:schemaRefs>
    <ds:schemaRef ds:uri="http://www.w3.org/XML/1998/namespace"/>
    <ds:schemaRef ds:uri="fd5d7520-0436-4075-8c9f-ec8533609ab6"/>
    <ds:schemaRef ds:uri="http://schemas.microsoft.com/office/2006/documentManagement/types"/>
    <ds:schemaRef ds:uri="http://purl.org/dc/elements/1.1/"/>
    <ds:schemaRef ds:uri="http://purl.org/dc/terms/"/>
    <ds:schemaRef ds:uri="http://purl.org/dc/dcmitype/"/>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2.xml><?xml version="1.0" encoding="utf-8"?>
<ds:datastoreItem xmlns:ds="http://schemas.openxmlformats.org/officeDocument/2006/customXml" ds:itemID="{31904C7E-7B92-4990-A44A-27640F401E5C}">
  <ds:schemaRefs>
    <ds:schemaRef ds:uri="http://schemas.microsoft.com/sharepoint/v3/contenttype/forms"/>
  </ds:schemaRefs>
</ds:datastoreItem>
</file>

<file path=customXml/itemProps3.xml><?xml version="1.0" encoding="utf-8"?>
<ds:datastoreItem xmlns:ds="http://schemas.openxmlformats.org/officeDocument/2006/customXml" ds:itemID="{8BFF0937-3EAA-4DBB-A353-E15147AF03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5d7520-0436-4075-8c9f-ec8533609ab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batteries</vt:lpstr>
      <vt:lpstr>bat plots</vt:lpstr>
      <vt:lpstr>electricity price curves</vt:lpstr>
      <vt:lpstr>infra</vt:lpstr>
      <vt:lpstr>world</vt:lpstr>
      <vt:lpstr>world (SE)</vt:lpstr>
      <vt:lpstr>powertrains</vt:lpstr>
      <vt:lpstr>vehicles</vt:lpstr>
      <vt:lpstr>code</vt:lpstr>
      <vt:lpstr>battery wear</vt:lpstr>
      <vt:lpstr>validation</vt:lpstr>
      <vt:lpstr>tables</vt:lpstr>
      <vt:lpstr>fuel price references</vt:lpstr>
      <vt:lpstr>battery SoH example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Jakob Rogstadius</dc:creator>
  <cp:keywords/>
  <dc:description/>
  <cp:lastModifiedBy>Jakob Rogstadius</cp:lastModifiedBy>
  <cp:revision/>
  <dcterms:created xsi:type="dcterms:W3CDTF">2022-03-15T12:51:31Z</dcterms:created>
  <dcterms:modified xsi:type="dcterms:W3CDTF">2025-01-13T12:43:26Z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0x010100C4C20FF6E0ED964B94148C604FEAA8F1</vt:lpwstr>
  </property>
  <property fmtid="{D5CDD505-2E9C-101B-9397-08002B2CF9AE}" pid="3" name="MSIP_Label_680afd86-dcf7-4483-b9eb-5af1dcd104e1_Enabled">
    <vt:lpwstr>true</vt:lpwstr>
  </property>
  <property fmtid="{D5CDD505-2E9C-101B-9397-08002B2CF9AE}" pid="4" name="MSIP_Label_680afd86-dcf7-4483-b9eb-5af1dcd104e1_SetDate">
    <vt:lpwstr>2024-03-30T11:27:48Z</vt:lpwstr>
  </property>
  <property fmtid="{D5CDD505-2E9C-101B-9397-08002B2CF9AE}" pid="5" name="MSIP_Label_680afd86-dcf7-4483-b9eb-5af1dcd104e1_Method">
    <vt:lpwstr>Standard</vt:lpwstr>
  </property>
  <property fmtid="{D5CDD505-2E9C-101B-9397-08002B2CF9AE}" pid="6" name="MSIP_Label_680afd86-dcf7-4483-b9eb-5af1dcd104e1_Name">
    <vt:lpwstr>K2 Intern</vt:lpwstr>
  </property>
  <property fmtid="{D5CDD505-2E9C-101B-9397-08002B2CF9AE}" pid="7" name="MSIP_Label_680afd86-dcf7-4483-b9eb-5af1dcd104e1_SiteId">
    <vt:lpwstr>5a9809cf-0bcb-413a-838a-09ecc40cc9e8</vt:lpwstr>
  </property>
  <property fmtid="{D5CDD505-2E9C-101B-9397-08002B2CF9AE}" pid="8" name="MSIP_Label_680afd86-dcf7-4483-b9eb-5af1dcd104e1_ActionId">
    <vt:lpwstr>aeb6701e-62db-4455-b1de-fab0c9573d12</vt:lpwstr>
  </property>
  <property fmtid="{D5CDD505-2E9C-101B-9397-08002B2CF9AE}" pid="9" name="MSIP_Label_680afd86-dcf7-4483-b9eb-5af1dcd104e1_ContentBits">
    <vt:lpwstr>0</vt:lpwstr>
  </property>
</Properties>
</file>